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39f8b15a4cf9d45/Desktop/"/>
    </mc:Choice>
  </mc:AlternateContent>
  <xr:revisionPtr revIDLastSave="16" documentId="8_{157E5A8D-D6FF-41A4-83D0-5003D93840CE}" xr6:coauthVersionLast="47" xr6:coauthVersionMax="47" xr10:uidLastSave="{8F034203-DE68-4D2A-AFA7-815C897B2E15}"/>
  <bookViews>
    <workbookView xWindow="-120" yWindow="-120" windowWidth="29040" windowHeight="15720" xr2:uid="{00000000-000D-0000-FFFF-FFFF00000000}"/>
  </bookViews>
  <sheets>
    <sheet name="SDT DEC 2025" sheetId="15" r:id="rId1"/>
  </sheets>
  <definedNames>
    <definedName name="_xlnm._FilterDatabase" localSheetId="0" hidden="1">'SDT DEC 2025'!$A$1:$X$122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0" i="15" l="1"/>
  <c r="H239" i="15"/>
  <c r="H233" i="15"/>
  <c r="H232" i="15"/>
  <c r="H229" i="15"/>
  <c r="H234" i="15" s="1"/>
  <c r="N183" i="15"/>
  <c r="L181" i="15"/>
  <c r="N177" i="15"/>
  <c r="L177" i="15"/>
  <c r="I177" i="15"/>
  <c r="L180" i="15" s="1"/>
  <c r="E141" i="15"/>
  <c r="D140" i="15"/>
  <c r="E140" i="15" s="1"/>
  <c r="C140" i="15"/>
  <c r="G139" i="15"/>
  <c r="G138" i="15"/>
  <c r="G137" i="15"/>
  <c r="G136" i="15"/>
  <c r="G135" i="15"/>
  <c r="G134" i="15"/>
  <c r="G133" i="15"/>
  <c r="G132" i="15"/>
  <c r="G131" i="15"/>
  <c r="G130" i="15"/>
  <c r="E129" i="15"/>
  <c r="G129" i="15" s="1"/>
  <c r="G128" i="15"/>
  <c r="G127" i="15"/>
  <c r="G126" i="15"/>
  <c r="W125" i="15"/>
  <c r="V125" i="15"/>
  <c r="N122" i="15"/>
  <c r="M122" i="15"/>
  <c r="L122" i="15"/>
  <c r="X120" i="15"/>
  <c r="T120" i="15"/>
  <c r="O120" i="15"/>
  <c r="X119" i="15"/>
  <c r="T119" i="15"/>
  <c r="O119" i="15"/>
  <c r="X118" i="15"/>
  <c r="T118" i="15"/>
  <c r="O118" i="15"/>
  <c r="X117" i="15"/>
  <c r="T117" i="15"/>
  <c r="O117" i="15"/>
  <c r="X116" i="15"/>
  <c r="T116" i="15"/>
  <c r="O116" i="15"/>
  <c r="X115" i="15"/>
  <c r="T115" i="15"/>
  <c r="O115" i="15"/>
  <c r="X114" i="15"/>
  <c r="T114" i="15"/>
  <c r="O114" i="15"/>
  <c r="X113" i="15"/>
  <c r="T113" i="15"/>
  <c r="O113" i="15"/>
  <c r="X112" i="15"/>
  <c r="T112" i="15"/>
  <c r="O112" i="15"/>
  <c r="X111" i="15"/>
  <c r="T111" i="15"/>
  <c r="O111" i="15"/>
  <c r="X110" i="15"/>
  <c r="T110" i="15"/>
  <c r="O110" i="15"/>
  <c r="X109" i="15"/>
  <c r="T109" i="15"/>
  <c r="O109" i="15"/>
  <c r="X108" i="15"/>
  <c r="T108" i="15"/>
  <c r="O108" i="15"/>
  <c r="X107" i="15"/>
  <c r="T107" i="15"/>
  <c r="O107" i="15"/>
  <c r="X106" i="15"/>
  <c r="T106" i="15"/>
  <c r="O106" i="15"/>
  <c r="X105" i="15"/>
  <c r="T105" i="15"/>
  <c r="O105" i="15"/>
  <c r="X104" i="15"/>
  <c r="T104" i="15"/>
  <c r="O104" i="15"/>
  <c r="X103" i="15"/>
  <c r="T103" i="15"/>
  <c r="O103" i="15"/>
  <c r="X102" i="15"/>
  <c r="T102" i="15"/>
  <c r="O102" i="15"/>
  <c r="X101" i="15"/>
  <c r="T101" i="15"/>
  <c r="O101" i="15"/>
  <c r="X100" i="15"/>
  <c r="T100" i="15"/>
  <c r="O100" i="15"/>
  <c r="X99" i="15"/>
  <c r="T99" i="15"/>
  <c r="O99" i="15"/>
  <c r="X98" i="15"/>
  <c r="T98" i="15"/>
  <c r="O98" i="15"/>
  <c r="X97" i="15"/>
  <c r="T97" i="15"/>
  <c r="O97" i="15"/>
  <c r="X96" i="15"/>
  <c r="T96" i="15"/>
  <c r="O96" i="15"/>
  <c r="X95" i="15"/>
  <c r="T95" i="15"/>
  <c r="O95" i="15"/>
  <c r="X94" i="15"/>
  <c r="T94" i="15"/>
  <c r="O94" i="15"/>
  <c r="X93" i="15"/>
  <c r="T93" i="15"/>
  <c r="O93" i="15"/>
  <c r="X92" i="15"/>
  <c r="T92" i="15"/>
  <c r="O92" i="15"/>
  <c r="X91" i="15"/>
  <c r="T91" i="15"/>
  <c r="O91" i="15"/>
  <c r="X90" i="15"/>
  <c r="T90" i="15"/>
  <c r="O90" i="15"/>
  <c r="X89" i="15"/>
  <c r="T89" i="15"/>
  <c r="O89" i="15"/>
  <c r="X88" i="15"/>
  <c r="T88" i="15"/>
  <c r="O88" i="15"/>
  <c r="X87" i="15"/>
  <c r="T87" i="15"/>
  <c r="O87" i="15"/>
  <c r="X86" i="15"/>
  <c r="T86" i="15"/>
  <c r="O86" i="15"/>
  <c r="X85" i="15"/>
  <c r="T85" i="15"/>
  <c r="O85" i="15"/>
  <c r="X84" i="15"/>
  <c r="T84" i="15"/>
  <c r="O84" i="15"/>
  <c r="X83" i="15"/>
  <c r="T83" i="15"/>
  <c r="O83" i="15"/>
  <c r="X82" i="15"/>
  <c r="T82" i="15"/>
  <c r="O82" i="15"/>
  <c r="X81" i="15"/>
  <c r="T81" i="15"/>
  <c r="O81" i="15"/>
  <c r="X80" i="15"/>
  <c r="T80" i="15"/>
  <c r="O80" i="15"/>
  <c r="X79" i="15"/>
  <c r="T79" i="15"/>
  <c r="O79" i="15"/>
  <c r="X78" i="15"/>
  <c r="T78" i="15"/>
  <c r="O78" i="15"/>
  <c r="X77" i="15"/>
  <c r="T77" i="15"/>
  <c r="O77" i="15"/>
  <c r="X76" i="15"/>
  <c r="T76" i="15"/>
  <c r="O76" i="15"/>
  <c r="X75" i="15"/>
  <c r="T75" i="15"/>
  <c r="O75" i="15"/>
  <c r="X74" i="15"/>
  <c r="T74" i="15"/>
  <c r="O74" i="15"/>
  <c r="X73" i="15"/>
  <c r="T73" i="15"/>
  <c r="O73" i="15"/>
  <c r="X72" i="15"/>
  <c r="T72" i="15"/>
  <c r="O72" i="15"/>
  <c r="X71" i="15"/>
  <c r="T71" i="15"/>
  <c r="O71" i="15"/>
  <c r="X70" i="15"/>
  <c r="T70" i="15"/>
  <c r="O70" i="15"/>
  <c r="X69" i="15"/>
  <c r="T69" i="15"/>
  <c r="O69" i="15"/>
  <c r="X68" i="15"/>
  <c r="T68" i="15"/>
  <c r="O68" i="15"/>
  <c r="X67" i="15"/>
  <c r="T67" i="15"/>
  <c r="O67" i="15"/>
  <c r="X66" i="15"/>
  <c r="T66" i="15"/>
  <c r="O66" i="15"/>
  <c r="X65" i="15"/>
  <c r="T65" i="15"/>
  <c r="O65" i="15"/>
  <c r="X64" i="15"/>
  <c r="T64" i="15"/>
  <c r="O64" i="15"/>
  <c r="X63" i="15"/>
  <c r="T63" i="15"/>
  <c r="O63" i="15"/>
  <c r="X62" i="15"/>
  <c r="T62" i="15"/>
  <c r="O62" i="15"/>
  <c r="X61" i="15"/>
  <c r="T61" i="15"/>
  <c r="O61" i="15"/>
  <c r="X60" i="15"/>
  <c r="T60" i="15"/>
  <c r="O60" i="15"/>
  <c r="X59" i="15"/>
  <c r="T59" i="15"/>
  <c r="O59" i="15"/>
  <c r="X58" i="15"/>
  <c r="T58" i="15"/>
  <c r="O58" i="15"/>
  <c r="X57" i="15"/>
  <c r="T57" i="15"/>
  <c r="O57" i="15"/>
  <c r="X56" i="15"/>
  <c r="T56" i="15"/>
  <c r="O56" i="15"/>
  <c r="X55" i="15"/>
  <c r="T55" i="15"/>
  <c r="O55" i="15"/>
  <c r="X54" i="15"/>
  <c r="T54" i="15"/>
  <c r="O54" i="15"/>
  <c r="X53" i="15"/>
  <c r="T53" i="15"/>
  <c r="O53" i="15"/>
  <c r="X52" i="15"/>
  <c r="T52" i="15"/>
  <c r="O52" i="15"/>
  <c r="X51" i="15"/>
  <c r="T51" i="15"/>
  <c r="O51" i="15"/>
  <c r="X50" i="15"/>
  <c r="T50" i="15"/>
  <c r="O50" i="15"/>
  <c r="X49" i="15"/>
  <c r="T49" i="15"/>
  <c r="O49" i="15"/>
  <c r="X48" i="15"/>
  <c r="T48" i="15"/>
  <c r="O48" i="15"/>
  <c r="X47" i="15"/>
  <c r="T47" i="15"/>
  <c r="O47" i="15"/>
  <c r="X46" i="15"/>
  <c r="T46" i="15"/>
  <c r="O46" i="15"/>
  <c r="X45" i="15"/>
  <c r="T45" i="15"/>
  <c r="O45" i="15"/>
  <c r="X44" i="15"/>
  <c r="T44" i="15"/>
  <c r="O44" i="15"/>
  <c r="X43" i="15"/>
  <c r="T43" i="15"/>
  <c r="O43" i="15"/>
  <c r="X42" i="15"/>
  <c r="T42" i="15"/>
  <c r="O42" i="15"/>
  <c r="X41" i="15"/>
  <c r="T41" i="15"/>
  <c r="O41" i="15"/>
  <c r="X40" i="15"/>
  <c r="T40" i="15"/>
  <c r="O40" i="15"/>
  <c r="X39" i="15"/>
  <c r="T39" i="15"/>
  <c r="O39" i="15"/>
  <c r="X38" i="15"/>
  <c r="T38" i="15"/>
  <c r="O38" i="15"/>
  <c r="X37" i="15"/>
  <c r="T37" i="15"/>
  <c r="O37" i="15"/>
  <c r="X36" i="15"/>
  <c r="T36" i="15"/>
  <c r="O36" i="15"/>
  <c r="X35" i="15"/>
  <c r="T35" i="15"/>
  <c r="O35" i="15"/>
  <c r="X34" i="15"/>
  <c r="T34" i="15"/>
  <c r="O34" i="15"/>
  <c r="X33" i="15"/>
  <c r="T33" i="15"/>
  <c r="O33" i="15"/>
  <c r="X32" i="15"/>
  <c r="T32" i="15"/>
  <c r="O32" i="15"/>
  <c r="X31" i="15"/>
  <c r="T31" i="15"/>
  <c r="O31" i="15"/>
  <c r="X30" i="15"/>
  <c r="T30" i="15"/>
  <c r="O30" i="15"/>
  <c r="X29" i="15"/>
  <c r="T29" i="15"/>
  <c r="O29" i="15"/>
  <c r="X28" i="15"/>
  <c r="T28" i="15"/>
  <c r="O28" i="15"/>
  <c r="X27" i="15"/>
  <c r="T27" i="15"/>
  <c r="O27" i="15"/>
  <c r="X26" i="15"/>
  <c r="T26" i="15"/>
  <c r="O26" i="15"/>
  <c r="X25" i="15"/>
  <c r="T25" i="15"/>
  <c r="O25" i="15"/>
  <c r="X24" i="15"/>
  <c r="T24" i="15"/>
  <c r="O24" i="15"/>
  <c r="X23" i="15"/>
  <c r="T23" i="15"/>
  <c r="O23" i="15"/>
  <c r="X22" i="15"/>
  <c r="T22" i="15"/>
  <c r="O22" i="15"/>
  <c r="X21" i="15"/>
  <c r="T21" i="15"/>
  <c r="O21" i="15"/>
  <c r="X20" i="15"/>
  <c r="T20" i="15"/>
  <c r="O20" i="15"/>
  <c r="X19" i="15"/>
  <c r="T19" i="15"/>
  <c r="O19" i="15"/>
  <c r="X18" i="15"/>
  <c r="T18" i="15"/>
  <c r="O18" i="15"/>
  <c r="X17" i="15"/>
  <c r="T17" i="15"/>
  <c r="O17" i="15"/>
  <c r="X16" i="15"/>
  <c r="T16" i="15"/>
  <c r="O16" i="15"/>
  <c r="X15" i="15"/>
  <c r="T15" i="15"/>
  <c r="O15" i="15"/>
  <c r="X14" i="15"/>
  <c r="T14" i="15"/>
  <c r="O14" i="15"/>
  <c r="X13" i="15"/>
  <c r="T13" i="15"/>
  <c r="O13" i="15"/>
  <c r="X12" i="15"/>
  <c r="T12" i="15"/>
  <c r="O12" i="15"/>
  <c r="X11" i="15"/>
  <c r="T11" i="15"/>
  <c r="O11" i="15"/>
  <c r="X10" i="15"/>
  <c r="T10" i="15"/>
  <c r="O10" i="15"/>
  <c r="X9" i="15"/>
  <c r="T9" i="15"/>
  <c r="O9" i="15"/>
  <c r="X8" i="15"/>
  <c r="T8" i="15"/>
  <c r="O8" i="15"/>
  <c r="X7" i="15"/>
  <c r="T7" i="15"/>
  <c r="O7" i="15"/>
  <c r="X6" i="15"/>
  <c r="T6" i="15"/>
  <c r="O6" i="15"/>
  <c r="X5" i="15"/>
  <c r="T5" i="15"/>
  <c r="O5" i="15"/>
  <c r="X4" i="15"/>
  <c r="T4" i="15"/>
  <c r="O4" i="15"/>
  <c r="X3" i="15"/>
  <c r="T3" i="15"/>
  <c r="O3" i="15"/>
  <c r="X2" i="15"/>
  <c r="T2" i="15"/>
  <c r="O2" i="15"/>
  <c r="T126" i="15" l="1"/>
  <c r="O122" i="15"/>
  <c r="G140" i="15"/>
  <c r="X125" i="15"/>
  <c r="L183" i="15"/>
  <c r="O183" i="15" s="1"/>
  <c r="O180" i="15"/>
  <c r="U126" i="15" l="1"/>
</calcChain>
</file>

<file path=xl/sharedStrings.xml><?xml version="1.0" encoding="utf-8"?>
<sst xmlns="http://schemas.openxmlformats.org/spreadsheetml/2006/main" count="1283" uniqueCount="347">
  <si>
    <t>DATE</t>
  </si>
  <si>
    <t>NAME OF THE CUSTOMER</t>
  </si>
  <si>
    <t>PICKUP FROM</t>
  </si>
  <si>
    <t>DE/ STUFFING AT</t>
  </si>
  <si>
    <t>VEHICLE NO</t>
  </si>
  <si>
    <t>SIZE</t>
  </si>
  <si>
    <t>PURPOSE</t>
  </si>
  <si>
    <t>CONTAINER NO</t>
  </si>
  <si>
    <t>TPT HIRE</t>
  </si>
  <si>
    <t>HALT</t>
  </si>
  <si>
    <t>BALANCE</t>
  </si>
  <si>
    <t>BILL NO</t>
  </si>
  <si>
    <t>REMARKS</t>
  </si>
  <si>
    <t>PAYMENT RECD BY ON</t>
  </si>
  <si>
    <t>ADVANCE</t>
  </si>
  <si>
    <t>Jetway Forwarders Pvt Ltd</t>
  </si>
  <si>
    <t>Zen Linen International Pvt Ltd</t>
  </si>
  <si>
    <t>Export</t>
  </si>
  <si>
    <t>MEPZ</t>
  </si>
  <si>
    <t>REdeagle 4s Logistics</t>
  </si>
  <si>
    <t>TN04K6999</t>
  </si>
  <si>
    <t>G.G. Organics Exports Pvt Ltd</t>
  </si>
  <si>
    <t>Import</t>
  </si>
  <si>
    <t>CITPL</t>
  </si>
  <si>
    <t>TN88B6368</t>
  </si>
  <si>
    <t>Godrej And Boyce Mfg. Co Ltd</t>
  </si>
  <si>
    <t>LOAD / EMPTY DROP AT</t>
  </si>
  <si>
    <t>SRS 1</t>
  </si>
  <si>
    <t>TRANSPORT NAME</t>
  </si>
  <si>
    <t>HIRE \ DSL</t>
  </si>
  <si>
    <t>ADV / TRIP</t>
  </si>
  <si>
    <t>TN52X1063</t>
  </si>
  <si>
    <t>CCTL</t>
  </si>
  <si>
    <t>NCTPL</t>
  </si>
  <si>
    <t>Ennore</t>
  </si>
  <si>
    <t>Skyland Express</t>
  </si>
  <si>
    <t>Alina Exports</t>
  </si>
  <si>
    <t>BLUEWHEAL</t>
  </si>
  <si>
    <t>AMOUNT</t>
  </si>
  <si>
    <t>TDS</t>
  </si>
  <si>
    <t>TN30AJ6129</t>
  </si>
  <si>
    <t>TN18K7004</t>
  </si>
  <si>
    <t>JETWAY TRANS</t>
  </si>
  <si>
    <t>REDEAGLE 4S LOG</t>
  </si>
  <si>
    <t>SKYLINE EXPRESS</t>
  </si>
  <si>
    <t>SMS INTL</t>
  </si>
  <si>
    <t xml:space="preserve">MSA SHIPPING </t>
  </si>
  <si>
    <t>SRIRAM ENTERPRISES</t>
  </si>
  <si>
    <t>CUSTOMER</t>
  </si>
  <si>
    <t>RECD</t>
  </si>
  <si>
    <t>SDT OWN</t>
  </si>
  <si>
    <t>TN32T2921</t>
  </si>
  <si>
    <t>TN22M2338</t>
  </si>
  <si>
    <t>02.04.2025</t>
  </si>
  <si>
    <t>Gopal SDT 6999</t>
  </si>
  <si>
    <t>WHSU5861306</t>
  </si>
  <si>
    <t>Mamandor</t>
  </si>
  <si>
    <t>SANCO 3</t>
  </si>
  <si>
    <t>Settu SDT 6129</t>
  </si>
  <si>
    <t>Velu SDT 6368</t>
  </si>
  <si>
    <t>Malolan Transport</t>
  </si>
  <si>
    <t>Redeagle 4S Logistics</t>
  </si>
  <si>
    <t>MR Logistics</t>
  </si>
  <si>
    <t>Apricot Logistics Solution</t>
  </si>
  <si>
    <t>TN28AB5805</t>
  </si>
  <si>
    <t>TN04AU9369</t>
  </si>
  <si>
    <t>ULTIMATE</t>
  </si>
  <si>
    <t>ACT 2</t>
  </si>
  <si>
    <t>OLD BALANCE</t>
  </si>
  <si>
    <t>ABRECO FREIGHT PVT LTD</t>
  </si>
  <si>
    <t>FROM BIS</t>
  </si>
  <si>
    <t xml:space="preserve">MLT </t>
  </si>
  <si>
    <t>EPF</t>
  </si>
  <si>
    <t>NANDA</t>
  </si>
  <si>
    <t>KRC</t>
  </si>
  <si>
    <t>LIC</t>
  </si>
  <si>
    <t>RED KOTHAN</t>
  </si>
  <si>
    <t>VRM</t>
  </si>
  <si>
    <t>RS MOR</t>
  </si>
  <si>
    <t>JML</t>
  </si>
  <si>
    <t>ACS MC</t>
  </si>
  <si>
    <t>CHOLA</t>
  </si>
  <si>
    <t>JWF</t>
  </si>
  <si>
    <t>YES</t>
  </si>
  <si>
    <t>BNK</t>
  </si>
  <si>
    <t>31.03.2028</t>
  </si>
  <si>
    <t>DEBITS</t>
  </si>
  <si>
    <t>10.05.2025</t>
  </si>
  <si>
    <t>MSNU2360562</t>
  </si>
  <si>
    <t>SICAL</t>
  </si>
  <si>
    <t>I SPEED</t>
  </si>
  <si>
    <t>SEAROCK</t>
  </si>
  <si>
    <t>EPIC</t>
  </si>
  <si>
    <t>CALYX</t>
  </si>
  <si>
    <t>27.05.2025</t>
  </si>
  <si>
    <t>ZIRCON</t>
  </si>
  <si>
    <t>WHSU5546747</t>
  </si>
  <si>
    <t>TOTAL</t>
  </si>
  <si>
    <t xml:space="preserve">RECEIVED </t>
  </si>
  <si>
    <t>NUMBAL CFS</t>
  </si>
  <si>
    <t>17.06.2025</t>
  </si>
  <si>
    <t>IAAU1763125</t>
  </si>
  <si>
    <t>WHSU6161077</t>
  </si>
  <si>
    <t>09.01.2025</t>
  </si>
  <si>
    <t>25.01.2025</t>
  </si>
  <si>
    <t>SMS AS ON 20.06.2025</t>
  </si>
  <si>
    <t>ESDU4112546</t>
  </si>
  <si>
    <t>WHSU6473060</t>
  </si>
  <si>
    <t>22.03.2025</t>
  </si>
  <si>
    <t>BEAU5912220</t>
  </si>
  <si>
    <t xml:space="preserve">BALANCE </t>
  </si>
  <si>
    <t>PNR</t>
  </si>
  <si>
    <t>CWCL</t>
  </si>
  <si>
    <t>24.06.2025</t>
  </si>
  <si>
    <t>OM SAI</t>
  </si>
  <si>
    <t>CICU2046305</t>
  </si>
  <si>
    <t>ERNAVOOR</t>
  </si>
  <si>
    <t>BCT 3</t>
  </si>
  <si>
    <t>TN18J4795</t>
  </si>
  <si>
    <t>SAIVISION</t>
  </si>
  <si>
    <t>VS LOG</t>
  </si>
  <si>
    <t>08.07.2025</t>
  </si>
  <si>
    <t>ASTER COMFORT</t>
  </si>
  <si>
    <t>IAAU1723462</t>
  </si>
  <si>
    <t>SRIRAM</t>
  </si>
  <si>
    <t>BALANCE AS ON 22.07</t>
  </si>
  <si>
    <t>Forza Industries</t>
  </si>
  <si>
    <t>TN32AK0946</t>
  </si>
  <si>
    <t>FLOWELL</t>
  </si>
  <si>
    <t>AP EXPRESS 15.08</t>
  </si>
  <si>
    <t>OTHIVAKKAM</t>
  </si>
  <si>
    <t>TN28BL9580</t>
  </si>
  <si>
    <t>HMM</t>
  </si>
  <si>
    <t>TN18J0685</t>
  </si>
  <si>
    <t>KRC TRANS</t>
  </si>
  <si>
    <t>NOBEL</t>
  </si>
  <si>
    <t>SAROJA TPT</t>
  </si>
  <si>
    <t>MCT 6</t>
  </si>
  <si>
    <t>SRINIVASA</t>
  </si>
  <si>
    <t>ABHAY TRANSPORT</t>
  </si>
  <si>
    <t>PERMALSAMY</t>
  </si>
  <si>
    <t>P.KANI SDT 9580</t>
  </si>
  <si>
    <t>yes</t>
  </si>
  <si>
    <t>IBCT</t>
  </si>
  <si>
    <t>TN18AC1977</t>
  </si>
  <si>
    <t>TRIWAY</t>
  </si>
  <si>
    <t>EMPTY</t>
  </si>
  <si>
    <t>VELS</t>
  </si>
  <si>
    <t>V.S LOGISTICS</t>
  </si>
  <si>
    <t>QUESIT SCIENCE</t>
  </si>
  <si>
    <t>SEAROCK 1</t>
  </si>
  <si>
    <t>01.12.2025</t>
  </si>
  <si>
    <t xml:space="preserve">Gokul Transport Ganesh </t>
  </si>
  <si>
    <t>MRF Tyres</t>
  </si>
  <si>
    <t>Kattupalli Port</t>
  </si>
  <si>
    <t>FSCU5043489</t>
  </si>
  <si>
    <t>FSCU5038184</t>
  </si>
  <si>
    <t>BEAU6181541</t>
  </si>
  <si>
    <t>OOLU0354927</t>
  </si>
  <si>
    <t>02.12.2025</t>
  </si>
  <si>
    <t>Renugadevi Transport</t>
  </si>
  <si>
    <t>Buterfully cookware</t>
  </si>
  <si>
    <t xml:space="preserve">CCTL </t>
  </si>
  <si>
    <t>Puthupakkam</t>
  </si>
  <si>
    <t>WHSU2943714</t>
  </si>
  <si>
    <t>CAAU6139950</t>
  </si>
  <si>
    <t>TCKU7760578</t>
  </si>
  <si>
    <t>MSNU1726430</t>
  </si>
  <si>
    <t>03.12.2025</t>
  </si>
  <si>
    <t>FSCU8709497</t>
  </si>
  <si>
    <t>TIIU5431670</t>
  </si>
  <si>
    <t>OOCU7848036</t>
  </si>
  <si>
    <t>MRKU0437226</t>
  </si>
  <si>
    <t>CAIU6001583</t>
  </si>
  <si>
    <t>04.12.2025</t>
  </si>
  <si>
    <t>OOLU9177709</t>
  </si>
  <si>
    <t>05.12.2025</t>
  </si>
  <si>
    <t>Beautycare Cosmetics</t>
  </si>
  <si>
    <t>TIIU5957427</t>
  </si>
  <si>
    <t>OOCU8381429</t>
  </si>
  <si>
    <t>WHLU0408185</t>
  </si>
  <si>
    <t>DFSU7258351</t>
  </si>
  <si>
    <t>06.12.2025</t>
  </si>
  <si>
    <t>DPWU9024880</t>
  </si>
  <si>
    <t>TIIU4978018</t>
  </si>
  <si>
    <t>CRSU9261043</t>
  </si>
  <si>
    <t>PMLU9020018</t>
  </si>
  <si>
    <t>EGHU3777002</t>
  </si>
  <si>
    <t>08.12.2025</t>
  </si>
  <si>
    <t>CSNU7305510</t>
  </si>
  <si>
    <t>DFSU7441640</t>
  </si>
  <si>
    <t>CSNU6460404</t>
  </si>
  <si>
    <t>TLLU2739465</t>
  </si>
  <si>
    <t>09.12.2025</t>
  </si>
  <si>
    <t>27.12.2025</t>
  </si>
  <si>
    <t>SRINIVASA FASHONS</t>
  </si>
  <si>
    <t>M CITY</t>
  </si>
  <si>
    <t>KICT PORT</t>
  </si>
  <si>
    <t>P.H HYDRAULICS</t>
  </si>
  <si>
    <t>MRKU5823330</t>
  </si>
  <si>
    <t>TCLU3290534</t>
  </si>
  <si>
    <t>MRKU8756913</t>
  </si>
  <si>
    <t>GAOU6304700</t>
  </si>
  <si>
    <t>MRKU7982367</t>
  </si>
  <si>
    <t>FCIU4403107</t>
  </si>
  <si>
    <t>TCKU6103840</t>
  </si>
  <si>
    <t>10.12.2025</t>
  </si>
  <si>
    <t>JB PERFUMES</t>
  </si>
  <si>
    <t>DPWU9110818</t>
  </si>
  <si>
    <t>TCKU7619153</t>
  </si>
  <si>
    <t>DPWU9105621</t>
  </si>
  <si>
    <t>NSSU7081019</t>
  </si>
  <si>
    <t>UETU5247654</t>
  </si>
  <si>
    <t>13.12.2025</t>
  </si>
  <si>
    <t>AIRFILTER</t>
  </si>
  <si>
    <t>HMMU4056939</t>
  </si>
  <si>
    <t>KOCU4186224</t>
  </si>
  <si>
    <t>HMMU6172521</t>
  </si>
  <si>
    <t>TCNU5077042</t>
  </si>
  <si>
    <t>FCIU7571233</t>
  </si>
  <si>
    <t>15.12.2025</t>
  </si>
  <si>
    <t>CAIU7666515</t>
  </si>
  <si>
    <t>TXGU7814460</t>
  </si>
  <si>
    <t>HMMU4156814</t>
  </si>
  <si>
    <t>DFSU7461899</t>
  </si>
  <si>
    <t>NWDU6835120</t>
  </si>
  <si>
    <t>16.12.2025</t>
  </si>
  <si>
    <t>TN05A5052</t>
  </si>
  <si>
    <t>TCKU7761506</t>
  </si>
  <si>
    <t>TIIU2014815</t>
  </si>
  <si>
    <t>SEKU1586008</t>
  </si>
  <si>
    <t>PCIU1363124</t>
  </si>
  <si>
    <t>17.12.2025</t>
  </si>
  <si>
    <t>MSK LINE</t>
  </si>
  <si>
    <t xml:space="preserve">SWEN </t>
  </si>
  <si>
    <t>SWEN</t>
  </si>
  <si>
    <t>PERUMALSAMY KSD</t>
  </si>
  <si>
    <t>KICT</t>
  </si>
  <si>
    <t>FFAU2307180</t>
  </si>
  <si>
    <t>OOCU8042195</t>
  </si>
  <si>
    <t>TRHU4305521</t>
  </si>
  <si>
    <t>MSKU0689753</t>
  </si>
  <si>
    <t>MSKU3918865</t>
  </si>
  <si>
    <t>HMMU4249820</t>
  </si>
  <si>
    <t>TCNU5923813</t>
  </si>
  <si>
    <t>TCLU2520360</t>
  </si>
  <si>
    <t>18.12.2025</t>
  </si>
  <si>
    <t>CSNU8136246</t>
  </si>
  <si>
    <t>FFAU3258115</t>
  </si>
  <si>
    <t>MRKU0796530</t>
  </si>
  <si>
    <t>CAIU3795366</t>
  </si>
  <si>
    <t>TEMU5730542</t>
  </si>
  <si>
    <t>TLLU2687952</t>
  </si>
  <si>
    <t>TEMU0498835</t>
  </si>
  <si>
    <t>19.12.2025</t>
  </si>
  <si>
    <t>TIIU4907993</t>
  </si>
  <si>
    <t>GCXU6486870</t>
  </si>
  <si>
    <t>20.12.2025</t>
  </si>
  <si>
    <t>JB ENTERPRISE</t>
  </si>
  <si>
    <t>SIPCT VALLAM</t>
  </si>
  <si>
    <t>21.12.2025</t>
  </si>
  <si>
    <t>MNT TPT</t>
  </si>
  <si>
    <t>SATVA II</t>
  </si>
  <si>
    <t>TXGU4245273</t>
  </si>
  <si>
    <t>TRHU6000922</t>
  </si>
  <si>
    <t>CSNU8814805</t>
  </si>
  <si>
    <t>TIIU4906338</t>
  </si>
  <si>
    <t>EGSU3718355</t>
  </si>
  <si>
    <t>EGSU2129307</t>
  </si>
  <si>
    <t>EGSU1142433</t>
  </si>
  <si>
    <t>CBHU7013193</t>
  </si>
  <si>
    <t>22.12.2025</t>
  </si>
  <si>
    <t>TRLU9661159</t>
  </si>
  <si>
    <t>16.12 &amp; 22.12</t>
  </si>
  <si>
    <t>23.12.2025</t>
  </si>
  <si>
    <t>UCT 11</t>
  </si>
  <si>
    <t>APOLLO 2</t>
  </si>
  <si>
    <t>PRM TPT</t>
  </si>
  <si>
    <t>TN28-5252</t>
  </si>
  <si>
    <t>TN06A5052</t>
  </si>
  <si>
    <t>DPWU9088653</t>
  </si>
  <si>
    <t>OOCU7242630</t>
  </si>
  <si>
    <t>OOCU9072023</t>
  </si>
  <si>
    <t>TIIU6055216</t>
  </si>
  <si>
    <t>CSNU8972668</t>
  </si>
  <si>
    <t>SNBU2260583</t>
  </si>
  <si>
    <t>BSIU3133180</t>
  </si>
  <si>
    <t>HMMU2186384</t>
  </si>
  <si>
    <t>WHLU7426703</t>
  </si>
  <si>
    <t>24.12.2025</t>
  </si>
  <si>
    <t>CWCL DPW</t>
  </si>
  <si>
    <t>BAVANI</t>
  </si>
  <si>
    <t>TN12E9556</t>
  </si>
  <si>
    <t>FFAU6936690</t>
  </si>
  <si>
    <t>TRHU4908680</t>
  </si>
  <si>
    <t>OOLU9466770</t>
  </si>
  <si>
    <t>CSNU7158770</t>
  </si>
  <si>
    <t>CSNU1489874</t>
  </si>
  <si>
    <t>BEAU2934457</t>
  </si>
  <si>
    <t>TEXU9032203</t>
  </si>
  <si>
    <t>WHSU5309853</t>
  </si>
  <si>
    <t>25.12.2025</t>
  </si>
  <si>
    <t>HASU5014843</t>
  </si>
  <si>
    <t>ACT 3</t>
  </si>
  <si>
    <t>26.12.2025</t>
  </si>
  <si>
    <t>CSNU4097434</t>
  </si>
  <si>
    <t>CSNU4046798</t>
  </si>
  <si>
    <t>OOCU9360610</t>
  </si>
  <si>
    <t>CAIU6426274</t>
  </si>
  <si>
    <t>OOCU0608239</t>
  </si>
  <si>
    <t>KRC TPT</t>
  </si>
  <si>
    <t>ALAMATHY</t>
  </si>
  <si>
    <t>OOCU9562490</t>
  </si>
  <si>
    <t>CSNU5533527</t>
  </si>
  <si>
    <t>CSNU7906039</t>
  </si>
  <si>
    <t>BMOU1498440</t>
  </si>
  <si>
    <t>Round The Clock</t>
  </si>
  <si>
    <t>RTC</t>
  </si>
  <si>
    <t>SRIPRUMBATHUR</t>
  </si>
  <si>
    <t>EMKU0008100</t>
  </si>
  <si>
    <t>ARKAY TPT</t>
  </si>
  <si>
    <t>29.12.2025</t>
  </si>
  <si>
    <t>MRKU4920132</t>
  </si>
  <si>
    <t>POWER 2</t>
  </si>
  <si>
    <t>WHSU5041708</t>
  </si>
  <si>
    <t>EGSU3825830</t>
  </si>
  <si>
    <t>30.12.2025</t>
  </si>
  <si>
    <t>31.12.2025</t>
  </si>
  <si>
    <t>Arkay Trans</t>
  </si>
  <si>
    <t>NAGALKEENI</t>
  </si>
  <si>
    <t>KSS CFS</t>
  </si>
  <si>
    <t>MSNU1548025</t>
  </si>
  <si>
    <t>ABIRAMI TRANS</t>
  </si>
  <si>
    <t>IGRASHI</t>
  </si>
  <si>
    <t>CSNU</t>
  </si>
  <si>
    <t>UNIFEEDER</t>
  </si>
  <si>
    <t>TN04AB5308</t>
  </si>
  <si>
    <t>TN18J8064</t>
  </si>
  <si>
    <t>TCNU6849006</t>
  </si>
  <si>
    <t>FSCU5075151</t>
  </si>
  <si>
    <t>KOCU40155598</t>
  </si>
  <si>
    <t>CAIU7402214</t>
  </si>
  <si>
    <t>TCNU2579129</t>
  </si>
  <si>
    <t>OOLU9201699</t>
  </si>
  <si>
    <t>NSSU7028565</t>
  </si>
  <si>
    <t>ROUND THE CLOCK</t>
  </si>
  <si>
    <t>ACCOUNT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</si>
</sst>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4"/>
      <name val="Calibri"/>
      <family val="2"/>
      <scheme val="minor"/>
    </font>
    <font>
      <sz val="10"/>
      <color theme="1"/>
      <name val="Arial"/>
      <family val="2"/>
    </font>
    <font>
      <sz val="11"/>
      <color rgb="FF00B050"/>
      <name val="Calibri"/>
      <family val="2"/>
      <scheme val="minor"/>
    </font>
    <font>
      <sz val="11"/>
      <color theme="9"/>
      <name val="Calibri"/>
      <family val="2"/>
      <scheme val="minor"/>
    </font>
    <font>
      <sz val="18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</cellStyleXfs>
  <cellXfs count="28">
    <xf numFmtId="0" fontId="0" fillId="0" borderId="0" xfId="0"/>
    <xf numFmtId="0" fontId="1" fillId="0" borderId="0" xfId="0" applyFont="1"/>
    <xf numFmtId="18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 vertical="center"/>
    </xf>
    <xf numFmtId="0" fontId="7" fillId="0" borderId="0" xfId="0" applyFont="1"/>
    <xf numFmtId="0" fontId="0" fillId="0" borderId="0" xfId="0" applyAlignment="1">
      <alignment vertical="center"/>
    </xf>
    <xf numFmtId="0" fontId="8" fillId="0" borderId="0" xfId="0" applyFont="1"/>
    <xf numFmtId="0" fontId="0" fillId="0" borderId="0" xfId="0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4" fontId="0" fillId="0" borderId="0" xfId="0" applyNumberFormat="1"/>
    <xf numFmtId="4" fontId="0" fillId="0" borderId="0" xfId="0" applyNumberFormat="1"/>
    <xf numFmtId="0" fontId="12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5" fillId="3" borderId="0" xfId="2"/>
    <xf numFmtId="0" fontId="14" fillId="2" borderId="0" xfId="1"/>
    <xf numFmtId="0" fontId="16" fillId="4" borderId="0" xfId="3"/>
    <xf numFmtId="0" fontId="17" fillId="0" borderId="0" xfId="0" applyFont="1"/>
    <xf numFmtId="0" fontId="1" fillId="5" borderId="0" xfId="0" applyFont="1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7237-675E-4333-AB98-244DEF07B164}">
  <dimension ref="A1:X242"/>
  <sheetViews>
    <sheetView tabSelected="1" topLeftCell="A14" zoomScale="115" zoomScaleNormal="115" workbookViewId="0">
      <selection activeCell="L155" sqref="L155"/>
    </sheetView>
  </sheetViews>
  <sheetFormatPr defaultRowHeight="15" x14ac:dyDescent="0.25"/>
  <cols>
    <col min="1" max="1" width="11.7109375" customWidth="1"/>
    <col min="2" max="2" width="32" bestFit="1" customWidth="1"/>
    <col min="3" max="3" width="30.85546875" customWidth="1"/>
    <col min="4" max="4" width="15.5703125" customWidth="1"/>
    <col min="5" max="5" width="19.140625" customWidth="1"/>
    <col min="6" max="6" width="12.28515625" customWidth="1"/>
    <col min="7" max="7" width="11" customWidth="1"/>
    <col min="8" max="8" width="14.85546875" customWidth="1"/>
    <col min="9" max="9" width="14.85546875" bestFit="1" customWidth="1"/>
    <col min="10" max="10" width="4.7109375" customWidth="1"/>
    <col min="11" max="11" width="12.140625" customWidth="1"/>
    <col min="12" max="12" width="9.85546875" customWidth="1"/>
    <col min="13" max="13" width="8.5703125" customWidth="1"/>
    <col min="14" max="14" width="10.42578125" customWidth="1"/>
    <col min="15" max="15" width="13" customWidth="1"/>
    <col min="16" max="16" width="11.5703125" customWidth="1"/>
    <col min="17" max="17" width="14.5703125" hidden="1" customWidth="1"/>
    <col min="18" max="18" width="12.85546875" hidden="1" customWidth="1"/>
    <col min="19" max="19" width="9.140625" hidden="1" customWidth="1"/>
    <col min="20" max="20" width="13.7109375" bestFit="1" customWidth="1"/>
    <col min="21" max="21" width="26.7109375" customWidth="1"/>
    <col min="22" max="22" width="9.140625" customWidth="1"/>
    <col min="23" max="23" width="9" customWidth="1"/>
    <col min="24" max="24" width="9.85546875" customWidth="1"/>
  </cols>
  <sheetData>
    <row r="1" spans="1:24" s="1" customFormat="1" x14ac:dyDescent="0.25">
      <c r="A1" s="27" t="s">
        <v>0</v>
      </c>
      <c r="B1" s="27" t="s">
        <v>1</v>
      </c>
      <c r="C1" s="27" t="s">
        <v>346</v>
      </c>
      <c r="D1" s="27" t="s">
        <v>2</v>
      </c>
      <c r="E1" s="27" t="s">
        <v>3</v>
      </c>
      <c r="F1" s="27" t="s">
        <v>6</v>
      </c>
      <c r="G1" s="27" t="s">
        <v>26</v>
      </c>
      <c r="H1" s="27" t="s">
        <v>4</v>
      </c>
      <c r="I1" s="27" t="s">
        <v>7</v>
      </c>
      <c r="J1" s="27" t="s">
        <v>5</v>
      </c>
      <c r="K1" s="27" t="s">
        <v>11</v>
      </c>
      <c r="L1" s="27" t="s">
        <v>8</v>
      </c>
      <c r="M1" s="27" t="s">
        <v>9</v>
      </c>
      <c r="N1" s="27" t="s">
        <v>14</v>
      </c>
      <c r="O1" s="27" t="s">
        <v>10</v>
      </c>
      <c r="P1" s="1" t="s">
        <v>12</v>
      </c>
      <c r="Q1" s="1" t="s">
        <v>13</v>
      </c>
      <c r="R1" s="1" t="s">
        <v>38</v>
      </c>
      <c r="S1" s="1" t="s">
        <v>39</v>
      </c>
      <c r="T1" s="1" t="s">
        <v>10</v>
      </c>
      <c r="U1" s="1" t="s">
        <v>28</v>
      </c>
      <c r="V1" s="1" t="s">
        <v>29</v>
      </c>
      <c r="W1" s="1" t="s">
        <v>30</v>
      </c>
      <c r="X1" s="1" t="s">
        <v>10</v>
      </c>
    </row>
    <row r="2" spans="1:24" x14ac:dyDescent="0.25">
      <c r="A2" s="2" t="s">
        <v>151</v>
      </c>
      <c r="B2" s="3" t="s">
        <v>15</v>
      </c>
      <c r="C2" s="4" t="s">
        <v>16</v>
      </c>
      <c r="D2" t="s">
        <v>67</v>
      </c>
      <c r="E2" s="4" t="s">
        <v>18</v>
      </c>
      <c r="F2" s="4" t="s">
        <v>17</v>
      </c>
      <c r="G2" s="4" t="s">
        <v>23</v>
      </c>
      <c r="H2" s="4" t="s">
        <v>20</v>
      </c>
      <c r="I2" s="6" t="s">
        <v>155</v>
      </c>
      <c r="J2" s="5">
        <v>40</v>
      </c>
      <c r="K2" s="5">
        <v>2512001</v>
      </c>
      <c r="L2" s="5">
        <v>12500</v>
      </c>
      <c r="M2" s="5"/>
      <c r="N2" s="4">
        <v>6500</v>
      </c>
      <c r="O2" s="5">
        <f>(L2+M2)-N2</f>
        <v>6000</v>
      </c>
      <c r="P2" s="5"/>
      <c r="T2">
        <f>(L2+M2)-V2</f>
        <v>2500</v>
      </c>
      <c r="U2" t="s">
        <v>54</v>
      </c>
      <c r="V2" s="11">
        <v>10000</v>
      </c>
      <c r="W2" s="5">
        <v>10000</v>
      </c>
      <c r="X2" s="5">
        <f>V2-W2</f>
        <v>0</v>
      </c>
    </row>
    <row r="3" spans="1:24" x14ac:dyDescent="0.25">
      <c r="A3" s="2" t="s">
        <v>151</v>
      </c>
      <c r="B3" s="3" t="s">
        <v>15</v>
      </c>
      <c r="C3" s="4" t="s">
        <v>16</v>
      </c>
      <c r="D3" t="s">
        <v>67</v>
      </c>
      <c r="E3" s="4" t="s">
        <v>18</v>
      </c>
      <c r="F3" s="4" t="s">
        <v>17</v>
      </c>
      <c r="G3" s="4" t="s">
        <v>23</v>
      </c>
      <c r="H3" s="4" t="s">
        <v>24</v>
      </c>
      <c r="I3" s="6" t="s">
        <v>156</v>
      </c>
      <c r="J3" s="5">
        <v>40</v>
      </c>
      <c r="K3" s="5">
        <v>2512002</v>
      </c>
      <c r="L3" s="5">
        <v>12500</v>
      </c>
      <c r="M3" s="5"/>
      <c r="N3" s="4">
        <v>6500</v>
      </c>
      <c r="O3" s="5">
        <f t="shared" ref="O3:O67" si="0">(L3+M3)-N3</f>
        <v>6000</v>
      </c>
      <c r="P3" s="5"/>
      <c r="T3">
        <f t="shared" ref="T3:T67" si="1">(L3+M3)-V3</f>
        <v>2500</v>
      </c>
      <c r="U3" t="s">
        <v>59</v>
      </c>
      <c r="V3" s="11">
        <v>10000</v>
      </c>
      <c r="W3" s="5">
        <v>10000</v>
      </c>
      <c r="X3" s="5">
        <f>V3-W3</f>
        <v>0</v>
      </c>
    </row>
    <row r="4" spans="1:24" x14ac:dyDescent="0.25">
      <c r="A4" s="2" t="s">
        <v>151</v>
      </c>
      <c r="B4" s="3" t="s">
        <v>15</v>
      </c>
      <c r="C4" s="4" t="s">
        <v>16</v>
      </c>
      <c r="D4" t="s">
        <v>67</v>
      </c>
      <c r="E4" s="4" t="s">
        <v>18</v>
      </c>
      <c r="F4" s="4" t="s">
        <v>17</v>
      </c>
      <c r="G4" s="4" t="s">
        <v>23</v>
      </c>
      <c r="H4" s="4" t="s">
        <v>40</v>
      </c>
      <c r="I4" s="6" t="s">
        <v>157</v>
      </c>
      <c r="J4" s="5">
        <v>40</v>
      </c>
      <c r="K4" s="5">
        <v>2512003</v>
      </c>
      <c r="L4" s="5">
        <v>12500</v>
      </c>
      <c r="M4" s="5"/>
      <c r="N4" s="4">
        <v>6500</v>
      </c>
      <c r="O4" s="5">
        <f t="shared" si="0"/>
        <v>6000</v>
      </c>
      <c r="P4" s="5"/>
      <c r="T4">
        <f t="shared" si="1"/>
        <v>2500</v>
      </c>
      <c r="U4" t="s">
        <v>58</v>
      </c>
      <c r="V4" s="11">
        <v>10000</v>
      </c>
      <c r="W4" s="11">
        <v>10000</v>
      </c>
      <c r="X4" s="5">
        <f t="shared" ref="X4:X68" si="2">V4-W4</f>
        <v>0</v>
      </c>
    </row>
    <row r="5" spans="1:24" x14ac:dyDescent="0.25">
      <c r="A5" s="2" t="s">
        <v>151</v>
      </c>
      <c r="B5" s="3" t="s">
        <v>152</v>
      </c>
      <c r="C5" s="4" t="s">
        <v>153</v>
      </c>
      <c r="D5" t="s">
        <v>154</v>
      </c>
      <c r="E5" s="4" t="s">
        <v>116</v>
      </c>
      <c r="F5" s="4" t="s">
        <v>22</v>
      </c>
      <c r="G5" s="4" t="s">
        <v>92</v>
      </c>
      <c r="H5" s="4" t="s">
        <v>131</v>
      </c>
      <c r="I5" s="6" t="s">
        <v>158</v>
      </c>
      <c r="J5" s="5">
        <v>20</v>
      </c>
      <c r="K5" s="5">
        <v>2512004</v>
      </c>
      <c r="L5" s="5">
        <v>5500</v>
      </c>
      <c r="M5" s="5"/>
      <c r="N5" s="4">
        <v>5500</v>
      </c>
      <c r="O5" s="5">
        <f t="shared" si="0"/>
        <v>0</v>
      </c>
      <c r="P5" s="5"/>
      <c r="T5">
        <f t="shared" si="1"/>
        <v>1500</v>
      </c>
      <c r="U5" t="s">
        <v>141</v>
      </c>
      <c r="V5" s="11">
        <v>4000</v>
      </c>
      <c r="W5" s="5">
        <v>4000</v>
      </c>
      <c r="X5" s="5">
        <f t="shared" si="2"/>
        <v>0</v>
      </c>
    </row>
    <row r="6" spans="1:24" x14ac:dyDescent="0.25">
      <c r="A6" s="2" t="s">
        <v>159</v>
      </c>
      <c r="B6" s="3" t="s">
        <v>160</v>
      </c>
      <c r="C6" s="4" t="s">
        <v>161</v>
      </c>
      <c r="D6" t="s">
        <v>162</v>
      </c>
      <c r="E6" s="4" t="s">
        <v>163</v>
      </c>
      <c r="F6" s="4" t="s">
        <v>22</v>
      </c>
      <c r="G6" s="4" t="s">
        <v>89</v>
      </c>
      <c r="H6" s="4" t="s">
        <v>131</v>
      </c>
      <c r="I6" s="6" t="s">
        <v>164</v>
      </c>
      <c r="J6" s="5">
        <v>20</v>
      </c>
      <c r="K6" s="5">
        <v>2512005</v>
      </c>
      <c r="L6" s="5">
        <v>11500</v>
      </c>
      <c r="M6" s="5"/>
      <c r="N6" s="4">
        <v>9000</v>
      </c>
      <c r="O6" s="5">
        <f t="shared" si="0"/>
        <v>2500</v>
      </c>
      <c r="P6" s="5"/>
      <c r="T6">
        <f t="shared" si="1"/>
        <v>2500</v>
      </c>
      <c r="U6" t="s">
        <v>141</v>
      </c>
      <c r="V6" s="11">
        <v>9000</v>
      </c>
      <c r="W6" s="5">
        <v>9000</v>
      </c>
      <c r="X6" s="5">
        <f t="shared" si="2"/>
        <v>0</v>
      </c>
    </row>
    <row r="7" spans="1:24" x14ac:dyDescent="0.25">
      <c r="A7" s="2" t="s">
        <v>159</v>
      </c>
      <c r="B7" s="3" t="s">
        <v>19</v>
      </c>
      <c r="C7" s="4" t="s">
        <v>16</v>
      </c>
      <c r="D7" t="s">
        <v>67</v>
      </c>
      <c r="E7" s="4" t="s">
        <v>18</v>
      </c>
      <c r="F7" s="4" t="s">
        <v>17</v>
      </c>
      <c r="G7" s="4" t="s">
        <v>23</v>
      </c>
      <c r="H7" s="4" t="s">
        <v>64</v>
      </c>
      <c r="I7" s="6" t="s">
        <v>165</v>
      </c>
      <c r="J7" s="5">
        <v>40</v>
      </c>
      <c r="K7" s="5">
        <v>2512006</v>
      </c>
      <c r="L7" s="5">
        <v>13500</v>
      </c>
      <c r="M7" s="5"/>
      <c r="N7" s="4">
        <v>6500</v>
      </c>
      <c r="O7" s="5">
        <f t="shared" si="0"/>
        <v>7000</v>
      </c>
      <c r="P7" s="5"/>
      <c r="T7">
        <f t="shared" si="1"/>
        <v>500</v>
      </c>
      <c r="U7" t="s">
        <v>140</v>
      </c>
      <c r="V7" s="11">
        <v>13000</v>
      </c>
      <c r="W7" s="11">
        <v>13000</v>
      </c>
      <c r="X7" s="5">
        <f t="shared" si="2"/>
        <v>0</v>
      </c>
    </row>
    <row r="8" spans="1:24" x14ac:dyDescent="0.25">
      <c r="A8" s="2" t="s">
        <v>159</v>
      </c>
      <c r="B8" s="3" t="s">
        <v>15</v>
      </c>
      <c r="C8" s="4" t="s">
        <v>16</v>
      </c>
      <c r="D8" t="s">
        <v>143</v>
      </c>
      <c r="E8" s="4" t="s">
        <v>18</v>
      </c>
      <c r="F8" s="4" t="s">
        <v>17</v>
      </c>
      <c r="G8" s="4" t="s">
        <v>23</v>
      </c>
      <c r="H8" s="4" t="s">
        <v>40</v>
      </c>
      <c r="I8" s="6" t="s">
        <v>166</v>
      </c>
      <c r="J8" s="5">
        <v>40</v>
      </c>
      <c r="K8" s="5">
        <v>2512007</v>
      </c>
      <c r="L8" s="5">
        <v>12500</v>
      </c>
      <c r="M8" s="5">
        <v>2000</v>
      </c>
      <c r="N8" s="4">
        <v>6500</v>
      </c>
      <c r="O8" s="5">
        <f>(L8+M8)-N8</f>
        <v>8000</v>
      </c>
      <c r="P8" s="5"/>
      <c r="T8">
        <f t="shared" si="1"/>
        <v>3500</v>
      </c>
      <c r="U8" t="s">
        <v>58</v>
      </c>
      <c r="V8" s="11">
        <v>11000</v>
      </c>
      <c r="W8" s="11">
        <v>11000</v>
      </c>
      <c r="X8" s="5">
        <f t="shared" si="2"/>
        <v>0</v>
      </c>
    </row>
    <row r="9" spans="1:24" x14ac:dyDescent="0.25">
      <c r="A9" s="2" t="s">
        <v>159</v>
      </c>
      <c r="B9" s="3" t="s">
        <v>15</v>
      </c>
      <c r="C9" s="4" t="s">
        <v>21</v>
      </c>
      <c r="D9" t="s">
        <v>95</v>
      </c>
      <c r="E9" s="4" t="s">
        <v>18</v>
      </c>
      <c r="F9" s="4" t="s">
        <v>17</v>
      </c>
      <c r="G9" s="4" t="s">
        <v>34</v>
      </c>
      <c r="H9" s="4" t="s">
        <v>144</v>
      </c>
      <c r="I9" s="6" t="s">
        <v>167</v>
      </c>
      <c r="J9" s="5">
        <v>20</v>
      </c>
      <c r="K9" s="5">
        <v>2512008</v>
      </c>
      <c r="L9" s="5">
        <v>12500</v>
      </c>
      <c r="M9" s="5"/>
      <c r="N9" s="4">
        <v>6500</v>
      </c>
      <c r="O9" s="5">
        <f t="shared" si="0"/>
        <v>6000</v>
      </c>
      <c r="P9" s="5"/>
      <c r="T9">
        <f t="shared" si="1"/>
        <v>500</v>
      </c>
      <c r="U9" t="s">
        <v>136</v>
      </c>
      <c r="V9" s="11">
        <v>12000</v>
      </c>
      <c r="W9" s="11">
        <v>12000</v>
      </c>
      <c r="X9" s="5">
        <f t="shared" si="2"/>
        <v>0</v>
      </c>
    </row>
    <row r="10" spans="1:24" x14ac:dyDescent="0.25">
      <c r="A10" s="2" t="s">
        <v>168</v>
      </c>
      <c r="B10" s="3" t="s">
        <v>19</v>
      </c>
      <c r="C10" s="4" t="s">
        <v>16</v>
      </c>
      <c r="D10" t="s">
        <v>67</v>
      </c>
      <c r="E10" s="4" t="s">
        <v>18</v>
      </c>
      <c r="F10" s="4" t="s">
        <v>17</v>
      </c>
      <c r="G10" s="4" t="s">
        <v>23</v>
      </c>
      <c r="H10" s="4" t="s">
        <v>64</v>
      </c>
      <c r="I10" s="6" t="s">
        <v>169</v>
      </c>
      <c r="J10" s="5">
        <v>40</v>
      </c>
      <c r="K10" s="5">
        <v>2512009</v>
      </c>
      <c r="L10" s="5">
        <v>13500</v>
      </c>
      <c r="M10" s="5">
        <v>2000</v>
      </c>
      <c r="N10" s="4">
        <v>6500</v>
      </c>
      <c r="O10" s="5">
        <f t="shared" si="0"/>
        <v>9000</v>
      </c>
      <c r="P10" s="5"/>
      <c r="T10">
        <f t="shared" si="1"/>
        <v>1000</v>
      </c>
      <c r="U10" t="s">
        <v>140</v>
      </c>
      <c r="V10" s="11">
        <v>14500</v>
      </c>
      <c r="W10" s="11">
        <v>14500</v>
      </c>
      <c r="X10" s="5">
        <f t="shared" si="2"/>
        <v>0</v>
      </c>
    </row>
    <row r="11" spans="1:24" x14ac:dyDescent="0.25">
      <c r="A11" s="2" t="s">
        <v>168</v>
      </c>
      <c r="B11" s="3" t="s">
        <v>15</v>
      </c>
      <c r="C11" s="4" t="s">
        <v>16</v>
      </c>
      <c r="D11" t="s">
        <v>67</v>
      </c>
      <c r="E11" s="4" t="s">
        <v>18</v>
      </c>
      <c r="F11" s="4" t="s">
        <v>17</v>
      </c>
      <c r="G11" s="4" t="s">
        <v>23</v>
      </c>
      <c r="H11" s="4" t="s">
        <v>20</v>
      </c>
      <c r="I11" s="6" t="s">
        <v>170</v>
      </c>
      <c r="J11" s="5">
        <v>40</v>
      </c>
      <c r="K11" s="5">
        <v>2512010</v>
      </c>
      <c r="L11" s="5">
        <v>12500</v>
      </c>
      <c r="N11" s="4">
        <v>6500</v>
      </c>
      <c r="O11" s="5">
        <f t="shared" si="0"/>
        <v>6000</v>
      </c>
      <c r="P11" s="5"/>
      <c r="T11">
        <f t="shared" si="1"/>
        <v>2500</v>
      </c>
      <c r="U11" t="s">
        <v>54</v>
      </c>
      <c r="V11" s="11">
        <v>10000</v>
      </c>
      <c r="W11" s="11">
        <v>10000</v>
      </c>
      <c r="X11" s="5">
        <f t="shared" si="2"/>
        <v>0</v>
      </c>
    </row>
    <row r="12" spans="1:24" x14ac:dyDescent="0.25">
      <c r="A12" s="2" t="s">
        <v>168</v>
      </c>
      <c r="B12" s="3" t="s">
        <v>15</v>
      </c>
      <c r="C12" s="4" t="s">
        <v>16</v>
      </c>
      <c r="D12" t="s">
        <v>67</v>
      </c>
      <c r="E12" s="4" t="s">
        <v>18</v>
      </c>
      <c r="F12" s="4" t="s">
        <v>17</v>
      </c>
      <c r="G12" s="4" t="s">
        <v>23</v>
      </c>
      <c r="H12" s="4" t="s">
        <v>24</v>
      </c>
      <c r="I12" s="6" t="s">
        <v>171</v>
      </c>
      <c r="J12" s="5">
        <v>40</v>
      </c>
      <c r="K12" s="5">
        <v>2512011</v>
      </c>
      <c r="L12" s="5">
        <v>12500</v>
      </c>
      <c r="N12" s="4">
        <v>6500</v>
      </c>
      <c r="O12" s="5">
        <f t="shared" si="0"/>
        <v>6000</v>
      </c>
      <c r="P12" s="5"/>
      <c r="T12">
        <f t="shared" si="1"/>
        <v>2500</v>
      </c>
      <c r="U12" t="s">
        <v>59</v>
      </c>
      <c r="V12" s="11">
        <v>10000</v>
      </c>
      <c r="W12" s="11">
        <v>10000</v>
      </c>
      <c r="X12" s="5">
        <f t="shared" si="2"/>
        <v>0</v>
      </c>
    </row>
    <row r="13" spans="1:24" x14ac:dyDescent="0.25">
      <c r="A13" s="2" t="s">
        <v>168</v>
      </c>
      <c r="B13" s="3" t="s">
        <v>35</v>
      </c>
      <c r="C13" s="4" t="s">
        <v>36</v>
      </c>
      <c r="D13" t="s">
        <v>147</v>
      </c>
      <c r="E13" s="4" t="s">
        <v>56</v>
      </c>
      <c r="F13" s="4" t="s">
        <v>17</v>
      </c>
      <c r="G13" s="4" t="s">
        <v>34</v>
      </c>
      <c r="H13" s="4" t="s">
        <v>40</v>
      </c>
      <c r="I13" s="6" t="s">
        <v>172</v>
      </c>
      <c r="J13" s="5">
        <v>40</v>
      </c>
      <c r="K13" s="5">
        <v>2512012</v>
      </c>
      <c r="L13" s="5">
        <v>17000</v>
      </c>
      <c r="M13" s="5">
        <v>500</v>
      </c>
      <c r="N13" s="4"/>
      <c r="O13" s="5">
        <f t="shared" si="0"/>
        <v>17500</v>
      </c>
      <c r="P13" s="5"/>
      <c r="T13">
        <f t="shared" si="1"/>
        <v>3500</v>
      </c>
      <c r="U13" t="s">
        <v>58</v>
      </c>
      <c r="V13" s="11">
        <v>14000</v>
      </c>
      <c r="W13" s="11">
        <v>14000</v>
      </c>
      <c r="X13" s="5">
        <f t="shared" si="2"/>
        <v>0</v>
      </c>
    </row>
    <row r="14" spans="1:24" x14ac:dyDescent="0.25">
      <c r="A14" s="2" t="s">
        <v>168</v>
      </c>
      <c r="B14" s="3" t="s">
        <v>148</v>
      </c>
      <c r="C14" s="4" t="s">
        <v>149</v>
      </c>
      <c r="D14" t="s">
        <v>57</v>
      </c>
      <c r="E14" s="4" t="s">
        <v>18</v>
      </c>
      <c r="F14" s="4" t="s">
        <v>17</v>
      </c>
      <c r="G14" s="4" t="s">
        <v>23</v>
      </c>
      <c r="H14" s="4" t="s">
        <v>131</v>
      </c>
      <c r="I14" s="6" t="s">
        <v>173</v>
      </c>
      <c r="J14" s="5">
        <v>20</v>
      </c>
      <c r="K14" s="5">
        <v>2512013</v>
      </c>
      <c r="L14" s="5">
        <v>11000</v>
      </c>
      <c r="M14" s="5"/>
      <c r="N14" s="4"/>
      <c r="O14" s="5">
        <f t="shared" si="0"/>
        <v>11000</v>
      </c>
      <c r="P14" s="5"/>
      <c r="T14">
        <f t="shared" si="1"/>
        <v>2500</v>
      </c>
      <c r="U14" t="s">
        <v>141</v>
      </c>
      <c r="V14" s="11">
        <v>8500</v>
      </c>
      <c r="W14" s="11">
        <v>8500</v>
      </c>
      <c r="X14" s="5">
        <f t="shared" si="2"/>
        <v>0</v>
      </c>
    </row>
    <row r="15" spans="1:24" x14ac:dyDescent="0.25">
      <c r="A15" s="2" t="s">
        <v>174</v>
      </c>
      <c r="B15" s="3" t="s">
        <v>15</v>
      </c>
      <c r="C15" s="3" t="s">
        <v>126</v>
      </c>
      <c r="D15" t="s">
        <v>57</v>
      </c>
      <c r="E15" s="4" t="s">
        <v>18</v>
      </c>
      <c r="F15" s="4" t="s">
        <v>17</v>
      </c>
      <c r="G15" s="4" t="s">
        <v>23</v>
      </c>
      <c r="H15" s="4" t="s">
        <v>24</v>
      </c>
      <c r="I15" s="6" t="s">
        <v>175</v>
      </c>
      <c r="J15" s="5">
        <v>40</v>
      </c>
      <c r="K15" s="5">
        <v>2512014</v>
      </c>
      <c r="L15" s="5">
        <v>13500</v>
      </c>
      <c r="N15" s="4">
        <v>6500</v>
      </c>
      <c r="O15" s="5">
        <f t="shared" si="0"/>
        <v>7000</v>
      </c>
      <c r="P15" s="5"/>
      <c r="T15">
        <f t="shared" si="1"/>
        <v>3500</v>
      </c>
      <c r="U15" t="s">
        <v>59</v>
      </c>
      <c r="V15" s="11">
        <v>10000</v>
      </c>
      <c r="W15" s="11">
        <v>10000</v>
      </c>
      <c r="X15" s="5">
        <f t="shared" si="2"/>
        <v>0</v>
      </c>
    </row>
    <row r="16" spans="1:24" x14ac:dyDescent="0.25">
      <c r="A16" s="2" t="s">
        <v>176</v>
      </c>
      <c r="B16" s="3" t="s">
        <v>19</v>
      </c>
      <c r="C16" s="4" t="s">
        <v>16</v>
      </c>
      <c r="D16" t="s">
        <v>67</v>
      </c>
      <c r="E16" s="4" t="s">
        <v>18</v>
      </c>
      <c r="F16" s="4" t="s">
        <v>17</v>
      </c>
      <c r="G16" s="4" t="s">
        <v>23</v>
      </c>
      <c r="H16" s="4" t="s">
        <v>64</v>
      </c>
      <c r="I16" s="6" t="s">
        <v>179</v>
      </c>
      <c r="J16" s="5">
        <v>40</v>
      </c>
      <c r="K16" s="5">
        <v>2512015</v>
      </c>
      <c r="L16" s="5">
        <v>13500</v>
      </c>
      <c r="M16" s="5"/>
      <c r="N16" s="4">
        <v>6500</v>
      </c>
      <c r="O16" s="5">
        <f t="shared" si="0"/>
        <v>7000</v>
      </c>
      <c r="T16">
        <f t="shared" si="1"/>
        <v>500</v>
      </c>
      <c r="U16" t="s">
        <v>140</v>
      </c>
      <c r="V16" s="11">
        <v>13000</v>
      </c>
      <c r="W16" s="11">
        <v>13000</v>
      </c>
      <c r="X16" s="5">
        <f t="shared" si="2"/>
        <v>0</v>
      </c>
    </row>
    <row r="17" spans="1:24" x14ac:dyDescent="0.25">
      <c r="A17" s="2" t="s">
        <v>176</v>
      </c>
      <c r="B17" s="3" t="s">
        <v>15</v>
      </c>
      <c r="C17" s="4" t="s">
        <v>16</v>
      </c>
      <c r="D17" t="s">
        <v>67</v>
      </c>
      <c r="E17" s="4" t="s">
        <v>18</v>
      </c>
      <c r="F17" s="4" t="s">
        <v>17</v>
      </c>
      <c r="G17" s="4" t="s">
        <v>23</v>
      </c>
      <c r="H17" s="4" t="s">
        <v>20</v>
      </c>
      <c r="I17" s="6" t="s">
        <v>178</v>
      </c>
      <c r="J17" s="5">
        <v>40</v>
      </c>
      <c r="K17" s="5">
        <v>2512016</v>
      </c>
      <c r="L17" s="5">
        <v>12500</v>
      </c>
      <c r="M17" s="5"/>
      <c r="N17" s="4">
        <v>6500</v>
      </c>
      <c r="O17" s="5">
        <f t="shared" si="0"/>
        <v>6000</v>
      </c>
      <c r="T17">
        <f t="shared" si="1"/>
        <v>2500</v>
      </c>
      <c r="U17" t="s">
        <v>54</v>
      </c>
      <c r="V17" s="11">
        <v>10000</v>
      </c>
      <c r="W17" s="11">
        <v>10000</v>
      </c>
      <c r="X17" s="5">
        <f t="shared" si="2"/>
        <v>0</v>
      </c>
    </row>
    <row r="18" spans="1:24" x14ac:dyDescent="0.25">
      <c r="A18" s="2" t="s">
        <v>176</v>
      </c>
      <c r="B18" s="3" t="s">
        <v>152</v>
      </c>
      <c r="C18" s="4" t="s">
        <v>153</v>
      </c>
      <c r="D18" t="s">
        <v>23</v>
      </c>
      <c r="E18" s="4" t="s">
        <v>112</v>
      </c>
      <c r="F18" s="4" t="s">
        <v>22</v>
      </c>
      <c r="G18" s="4" t="s">
        <v>92</v>
      </c>
      <c r="H18" s="4" t="s">
        <v>131</v>
      </c>
      <c r="I18" s="6" t="s">
        <v>180</v>
      </c>
      <c r="J18" s="5">
        <v>20</v>
      </c>
      <c r="K18" s="5">
        <v>2512017</v>
      </c>
      <c r="L18" s="5">
        <v>5500</v>
      </c>
      <c r="M18" s="5"/>
      <c r="N18" s="4">
        <v>5500</v>
      </c>
      <c r="O18" s="5">
        <f t="shared" si="0"/>
        <v>0</v>
      </c>
      <c r="T18">
        <f t="shared" si="1"/>
        <v>1500</v>
      </c>
      <c r="U18" t="s">
        <v>141</v>
      </c>
      <c r="V18" s="11">
        <v>4000</v>
      </c>
      <c r="W18" s="11">
        <v>4000</v>
      </c>
      <c r="X18" s="5">
        <f t="shared" si="2"/>
        <v>0</v>
      </c>
    </row>
    <row r="19" spans="1:24" x14ac:dyDescent="0.25">
      <c r="A19" s="2" t="s">
        <v>176</v>
      </c>
      <c r="B19" s="3" t="s">
        <v>15</v>
      </c>
      <c r="C19" s="4" t="s">
        <v>177</v>
      </c>
      <c r="D19" t="s">
        <v>137</v>
      </c>
      <c r="E19" s="4" t="s">
        <v>18</v>
      </c>
      <c r="F19" s="4" t="s">
        <v>17</v>
      </c>
      <c r="G19" s="4" t="s">
        <v>32</v>
      </c>
      <c r="H19" s="4" t="s">
        <v>40</v>
      </c>
      <c r="I19" s="6" t="s">
        <v>181</v>
      </c>
      <c r="J19" s="5">
        <v>40</v>
      </c>
      <c r="K19" s="5">
        <v>2512018</v>
      </c>
      <c r="L19" s="5">
        <v>13500</v>
      </c>
      <c r="M19" s="5"/>
      <c r="N19" s="4">
        <v>6500</v>
      </c>
      <c r="O19" s="5">
        <f t="shared" si="0"/>
        <v>7000</v>
      </c>
      <c r="P19" s="5"/>
      <c r="T19">
        <f>(L19+M19)-V19</f>
        <v>3500</v>
      </c>
      <c r="U19" t="s">
        <v>58</v>
      </c>
      <c r="V19" s="11">
        <v>10000</v>
      </c>
      <c r="W19" s="11">
        <v>10000</v>
      </c>
      <c r="X19" s="5">
        <f t="shared" si="2"/>
        <v>0</v>
      </c>
    </row>
    <row r="20" spans="1:24" x14ac:dyDescent="0.25">
      <c r="A20" s="2" t="s">
        <v>182</v>
      </c>
      <c r="B20" s="3" t="s">
        <v>15</v>
      </c>
      <c r="C20" s="4" t="s">
        <v>16</v>
      </c>
      <c r="D20" t="s">
        <v>66</v>
      </c>
      <c r="E20" s="4" t="s">
        <v>18</v>
      </c>
      <c r="F20" s="4" t="s">
        <v>17</v>
      </c>
      <c r="G20" s="4" t="s">
        <v>32</v>
      </c>
      <c r="H20" s="4" t="s">
        <v>24</v>
      </c>
      <c r="I20" s="6" t="s">
        <v>183</v>
      </c>
      <c r="J20" s="5">
        <v>40</v>
      </c>
      <c r="K20" s="5">
        <v>2512019</v>
      </c>
      <c r="L20" s="5">
        <v>12500</v>
      </c>
      <c r="N20" s="4">
        <v>6500</v>
      </c>
      <c r="O20" s="5">
        <f t="shared" si="0"/>
        <v>6000</v>
      </c>
      <c r="T20">
        <f t="shared" si="1"/>
        <v>2500</v>
      </c>
      <c r="U20" t="s">
        <v>59</v>
      </c>
      <c r="V20" s="11">
        <v>10000</v>
      </c>
      <c r="W20" s="5">
        <v>10000</v>
      </c>
      <c r="X20" s="5">
        <f t="shared" si="2"/>
        <v>0</v>
      </c>
    </row>
    <row r="21" spans="1:24" x14ac:dyDescent="0.25">
      <c r="A21" s="2" t="s">
        <v>182</v>
      </c>
      <c r="B21" s="3" t="s">
        <v>15</v>
      </c>
      <c r="C21" s="4" t="s">
        <v>16</v>
      </c>
      <c r="D21" t="s">
        <v>66</v>
      </c>
      <c r="E21" s="4" t="s">
        <v>18</v>
      </c>
      <c r="F21" s="4" t="s">
        <v>17</v>
      </c>
      <c r="G21" s="4" t="s">
        <v>32</v>
      </c>
      <c r="H21" s="4" t="s">
        <v>20</v>
      </c>
      <c r="I21" s="6" t="s">
        <v>184</v>
      </c>
      <c r="J21" s="5">
        <v>40</v>
      </c>
      <c r="K21" s="5">
        <v>2512020</v>
      </c>
      <c r="L21" s="5">
        <v>12500</v>
      </c>
      <c r="N21" s="4">
        <v>6500</v>
      </c>
      <c r="O21" s="5">
        <f t="shared" si="0"/>
        <v>6000</v>
      </c>
      <c r="T21">
        <f t="shared" si="1"/>
        <v>2500</v>
      </c>
      <c r="U21" t="s">
        <v>54</v>
      </c>
      <c r="V21" s="11">
        <v>10000</v>
      </c>
      <c r="W21" s="11">
        <v>10000</v>
      </c>
      <c r="X21" s="5">
        <f t="shared" si="2"/>
        <v>0</v>
      </c>
    </row>
    <row r="22" spans="1:24" x14ac:dyDescent="0.25">
      <c r="A22" s="2" t="s">
        <v>182</v>
      </c>
      <c r="B22" s="3" t="s">
        <v>15</v>
      </c>
      <c r="C22" s="4" t="s">
        <v>16</v>
      </c>
      <c r="D22" t="s">
        <v>66</v>
      </c>
      <c r="E22" s="4" t="s">
        <v>18</v>
      </c>
      <c r="F22" s="4" t="s">
        <v>17</v>
      </c>
      <c r="G22" s="4" t="s">
        <v>32</v>
      </c>
      <c r="H22" s="4" t="s">
        <v>40</v>
      </c>
      <c r="I22" s="6" t="s">
        <v>185</v>
      </c>
      <c r="J22" s="5">
        <v>40</v>
      </c>
      <c r="K22" s="5">
        <v>2512021</v>
      </c>
      <c r="L22" s="5">
        <v>12500</v>
      </c>
      <c r="M22" s="5"/>
      <c r="N22" s="4">
        <v>6500</v>
      </c>
      <c r="O22" s="5">
        <f>(L22+M22)-N22</f>
        <v>6000</v>
      </c>
      <c r="T22">
        <f>(L22+M22)-V22</f>
        <v>2500</v>
      </c>
      <c r="U22" t="s">
        <v>58</v>
      </c>
      <c r="V22" s="11">
        <v>10000</v>
      </c>
      <c r="W22" s="5">
        <v>10000</v>
      </c>
      <c r="X22" s="5">
        <f t="shared" si="2"/>
        <v>0</v>
      </c>
    </row>
    <row r="23" spans="1:24" x14ac:dyDescent="0.25">
      <c r="A23" s="2" t="s">
        <v>182</v>
      </c>
      <c r="B23" s="3" t="s">
        <v>19</v>
      </c>
      <c r="C23" s="4" t="s">
        <v>16</v>
      </c>
      <c r="D23" t="s">
        <v>66</v>
      </c>
      <c r="E23" s="4" t="s">
        <v>18</v>
      </c>
      <c r="F23" s="4" t="s">
        <v>17</v>
      </c>
      <c r="G23" s="4" t="s">
        <v>32</v>
      </c>
      <c r="H23" s="4" t="s">
        <v>64</v>
      </c>
      <c r="I23" s="4" t="s">
        <v>186</v>
      </c>
      <c r="J23" s="5">
        <v>40</v>
      </c>
      <c r="K23" s="5">
        <v>2512022</v>
      </c>
      <c r="L23" s="5">
        <v>13500</v>
      </c>
      <c r="M23" s="5"/>
      <c r="N23" s="4">
        <v>6500</v>
      </c>
      <c r="O23" s="5">
        <f>(L23+M23)-N23</f>
        <v>7000</v>
      </c>
      <c r="T23">
        <f>(L23+M23)-V23</f>
        <v>500</v>
      </c>
      <c r="U23" t="s">
        <v>140</v>
      </c>
      <c r="V23" s="11">
        <v>13000</v>
      </c>
      <c r="W23" s="5">
        <v>13000</v>
      </c>
      <c r="X23" s="5">
        <f t="shared" si="2"/>
        <v>0</v>
      </c>
    </row>
    <row r="24" spans="1:24" x14ac:dyDescent="0.25">
      <c r="A24" s="2" t="s">
        <v>182</v>
      </c>
      <c r="B24" s="3" t="s">
        <v>47</v>
      </c>
      <c r="C24" s="4" t="s">
        <v>124</v>
      </c>
      <c r="D24" t="s">
        <v>93</v>
      </c>
      <c r="E24" s="4" t="s">
        <v>116</v>
      </c>
      <c r="F24" s="4" t="s">
        <v>17</v>
      </c>
      <c r="G24" s="4" t="s">
        <v>32</v>
      </c>
      <c r="H24" s="4" t="s">
        <v>131</v>
      </c>
      <c r="I24" s="4" t="s">
        <v>187</v>
      </c>
      <c r="J24" s="5">
        <v>20</v>
      </c>
      <c r="K24" s="5">
        <v>2512023</v>
      </c>
      <c r="L24" s="5">
        <v>11000</v>
      </c>
      <c r="M24" s="5"/>
      <c r="N24" s="4"/>
      <c r="O24" s="5">
        <f t="shared" si="0"/>
        <v>11000</v>
      </c>
      <c r="T24">
        <f t="shared" si="1"/>
        <v>6000</v>
      </c>
      <c r="U24" t="s">
        <v>141</v>
      </c>
      <c r="V24" s="11">
        <v>5000</v>
      </c>
      <c r="W24" s="5">
        <v>5000</v>
      </c>
      <c r="X24" s="5">
        <f t="shared" si="2"/>
        <v>0</v>
      </c>
    </row>
    <row r="25" spans="1:24" x14ac:dyDescent="0.25">
      <c r="A25" s="2" t="s">
        <v>188</v>
      </c>
      <c r="B25" s="3" t="s">
        <v>15</v>
      </c>
      <c r="C25" s="4" t="s">
        <v>16</v>
      </c>
      <c r="D25" t="s">
        <v>67</v>
      </c>
      <c r="E25" s="4" t="s">
        <v>18</v>
      </c>
      <c r="F25" s="4" t="s">
        <v>17</v>
      </c>
      <c r="G25" s="4" t="s">
        <v>23</v>
      </c>
      <c r="H25" s="4" t="s">
        <v>24</v>
      </c>
      <c r="I25" s="6" t="s">
        <v>189</v>
      </c>
      <c r="J25" s="5">
        <v>40</v>
      </c>
      <c r="K25" s="5">
        <v>2512024</v>
      </c>
      <c r="L25" s="5">
        <v>12500</v>
      </c>
      <c r="M25" s="5"/>
      <c r="N25" s="4">
        <v>6500</v>
      </c>
      <c r="O25" s="5">
        <f t="shared" si="0"/>
        <v>6000</v>
      </c>
      <c r="T25">
        <f t="shared" si="1"/>
        <v>2500</v>
      </c>
      <c r="U25" t="s">
        <v>59</v>
      </c>
      <c r="V25" s="11">
        <v>10000</v>
      </c>
      <c r="W25" s="5">
        <v>10000</v>
      </c>
      <c r="X25" s="5">
        <f t="shared" si="2"/>
        <v>0</v>
      </c>
    </row>
    <row r="26" spans="1:24" x14ac:dyDescent="0.25">
      <c r="A26" s="2" t="s">
        <v>188</v>
      </c>
      <c r="B26" s="3" t="s">
        <v>15</v>
      </c>
      <c r="C26" s="4" t="s">
        <v>16</v>
      </c>
      <c r="D26" t="s">
        <v>67</v>
      </c>
      <c r="E26" s="4" t="s">
        <v>18</v>
      </c>
      <c r="F26" s="4" t="s">
        <v>17</v>
      </c>
      <c r="G26" s="4" t="s">
        <v>23</v>
      </c>
      <c r="H26" s="4" t="s">
        <v>20</v>
      </c>
      <c r="I26" s="6" t="s">
        <v>190</v>
      </c>
      <c r="J26" s="5">
        <v>40</v>
      </c>
      <c r="K26" s="5">
        <v>2512025</v>
      </c>
      <c r="L26" s="5">
        <v>12500</v>
      </c>
      <c r="M26" s="5"/>
      <c r="N26" s="4">
        <v>6500</v>
      </c>
      <c r="O26" s="5">
        <f t="shared" si="0"/>
        <v>6000</v>
      </c>
      <c r="T26">
        <f t="shared" si="1"/>
        <v>2500</v>
      </c>
      <c r="U26" t="s">
        <v>54</v>
      </c>
      <c r="V26" s="11">
        <v>10000</v>
      </c>
      <c r="W26" s="5">
        <v>10000</v>
      </c>
      <c r="X26" s="5">
        <f t="shared" si="2"/>
        <v>0</v>
      </c>
    </row>
    <row r="27" spans="1:24" x14ac:dyDescent="0.25">
      <c r="A27" s="2" t="s">
        <v>188</v>
      </c>
      <c r="B27" s="3" t="s">
        <v>15</v>
      </c>
      <c r="C27" s="4" t="s">
        <v>16</v>
      </c>
      <c r="D27" t="s">
        <v>67</v>
      </c>
      <c r="E27" s="4" t="s">
        <v>18</v>
      </c>
      <c r="F27" s="4" t="s">
        <v>17</v>
      </c>
      <c r="G27" s="4" t="s">
        <v>23</v>
      </c>
      <c r="H27" s="4" t="s">
        <v>40</v>
      </c>
      <c r="I27" s="4" t="s">
        <v>191</v>
      </c>
      <c r="J27" s="5">
        <v>40</v>
      </c>
      <c r="K27" s="5">
        <v>2512026</v>
      </c>
      <c r="L27" s="5">
        <v>12500</v>
      </c>
      <c r="M27" s="5"/>
      <c r="N27" s="4">
        <v>6500</v>
      </c>
      <c r="O27" s="5">
        <f t="shared" si="0"/>
        <v>6000</v>
      </c>
      <c r="T27">
        <f t="shared" si="1"/>
        <v>2500</v>
      </c>
      <c r="U27" t="s">
        <v>58</v>
      </c>
      <c r="V27" s="11">
        <v>10000</v>
      </c>
      <c r="W27" s="5">
        <v>10000</v>
      </c>
      <c r="X27" s="5">
        <f t="shared" si="2"/>
        <v>0</v>
      </c>
    </row>
    <row r="28" spans="1:24" x14ac:dyDescent="0.25">
      <c r="A28" s="2" t="s">
        <v>188</v>
      </c>
      <c r="B28" s="3" t="s">
        <v>15</v>
      </c>
      <c r="C28" s="4" t="s">
        <v>21</v>
      </c>
      <c r="D28" t="s">
        <v>67</v>
      </c>
      <c r="E28" s="4" t="s">
        <v>18</v>
      </c>
      <c r="F28" s="4" t="s">
        <v>17</v>
      </c>
      <c r="G28" s="4" t="s">
        <v>23</v>
      </c>
      <c r="H28" s="6" t="s">
        <v>131</v>
      </c>
      <c r="I28" s="6" t="s">
        <v>192</v>
      </c>
      <c r="J28" s="5">
        <v>20</v>
      </c>
      <c r="K28" s="5">
        <v>2512027</v>
      </c>
      <c r="L28" s="5">
        <v>10000</v>
      </c>
      <c r="M28" s="5"/>
      <c r="N28" s="5">
        <v>5000</v>
      </c>
      <c r="O28" s="5">
        <f t="shared" si="0"/>
        <v>5000</v>
      </c>
      <c r="T28">
        <f t="shared" si="1"/>
        <v>2000</v>
      </c>
      <c r="U28" t="s">
        <v>141</v>
      </c>
      <c r="V28" s="11">
        <v>8000</v>
      </c>
      <c r="W28" s="5">
        <v>8000</v>
      </c>
      <c r="X28" s="5">
        <f t="shared" si="2"/>
        <v>0</v>
      </c>
    </row>
    <row r="29" spans="1:24" x14ac:dyDescent="0.25">
      <c r="A29" s="2" t="s">
        <v>193</v>
      </c>
      <c r="B29" s="3" t="s">
        <v>15</v>
      </c>
      <c r="C29" s="4" t="s">
        <v>16</v>
      </c>
      <c r="D29" t="s">
        <v>143</v>
      </c>
      <c r="E29" s="4" t="s">
        <v>18</v>
      </c>
      <c r="F29" s="4" t="s">
        <v>17</v>
      </c>
      <c r="G29" s="4" t="s">
        <v>34</v>
      </c>
      <c r="H29" s="4" t="s">
        <v>20</v>
      </c>
      <c r="I29" s="6" t="s">
        <v>199</v>
      </c>
      <c r="J29" s="5">
        <v>40</v>
      </c>
      <c r="K29" s="5">
        <v>2512028</v>
      </c>
      <c r="L29" s="5">
        <v>12500</v>
      </c>
      <c r="M29" s="5"/>
      <c r="N29" s="5">
        <v>6500</v>
      </c>
      <c r="O29" s="5">
        <f t="shared" si="0"/>
        <v>6000</v>
      </c>
      <c r="T29">
        <f t="shared" si="1"/>
        <v>2500</v>
      </c>
      <c r="U29" t="s">
        <v>54</v>
      </c>
      <c r="V29" s="11">
        <v>10000</v>
      </c>
      <c r="W29" s="5">
        <v>10000</v>
      </c>
      <c r="X29" s="5">
        <f t="shared" si="2"/>
        <v>0</v>
      </c>
    </row>
    <row r="30" spans="1:24" x14ac:dyDescent="0.25">
      <c r="A30" s="2" t="s">
        <v>193</v>
      </c>
      <c r="B30" s="3" t="s">
        <v>15</v>
      </c>
      <c r="C30" s="4" t="s">
        <v>16</v>
      </c>
      <c r="D30" t="s">
        <v>143</v>
      </c>
      <c r="E30" s="4" t="s">
        <v>18</v>
      </c>
      <c r="F30" s="4" t="s">
        <v>17</v>
      </c>
      <c r="G30" s="4" t="s">
        <v>34</v>
      </c>
      <c r="H30" s="4" t="s">
        <v>51</v>
      </c>
      <c r="I30" s="6" t="s">
        <v>200</v>
      </c>
      <c r="J30" s="5">
        <v>20</v>
      </c>
      <c r="K30" s="5">
        <v>2512029</v>
      </c>
      <c r="L30" s="5">
        <v>10000</v>
      </c>
      <c r="M30" s="5"/>
      <c r="N30" s="5">
        <v>5000</v>
      </c>
      <c r="O30" s="5">
        <f t="shared" si="0"/>
        <v>5000</v>
      </c>
      <c r="P30" s="5"/>
      <c r="T30">
        <f t="shared" si="1"/>
        <v>0</v>
      </c>
      <c r="U30" t="s">
        <v>134</v>
      </c>
      <c r="V30" s="11">
        <v>10000</v>
      </c>
      <c r="W30" s="5">
        <v>10000</v>
      </c>
      <c r="X30" s="5">
        <f t="shared" si="2"/>
        <v>0</v>
      </c>
    </row>
    <row r="31" spans="1:24" x14ac:dyDescent="0.25">
      <c r="A31" s="2" t="s">
        <v>193</v>
      </c>
      <c r="B31" s="3" t="s">
        <v>15</v>
      </c>
      <c r="C31" s="4" t="s">
        <v>16</v>
      </c>
      <c r="D31" t="s">
        <v>143</v>
      </c>
      <c r="E31" s="4" t="s">
        <v>18</v>
      </c>
      <c r="F31" s="4" t="s">
        <v>17</v>
      </c>
      <c r="G31" s="4" t="s">
        <v>34</v>
      </c>
      <c r="H31" s="4" t="s">
        <v>52</v>
      </c>
      <c r="I31" s="6" t="s">
        <v>201</v>
      </c>
      <c r="J31" s="5">
        <v>20</v>
      </c>
      <c r="K31" s="5">
        <v>2512030</v>
      </c>
      <c r="L31" s="5">
        <v>10000</v>
      </c>
      <c r="M31" s="5"/>
      <c r="N31" s="5">
        <v>5000</v>
      </c>
      <c r="O31" s="5">
        <f t="shared" si="0"/>
        <v>5000</v>
      </c>
      <c r="T31">
        <f t="shared" si="1"/>
        <v>0</v>
      </c>
      <c r="U31" t="s">
        <v>134</v>
      </c>
      <c r="V31" s="11">
        <v>10000</v>
      </c>
      <c r="W31" s="5">
        <v>10000</v>
      </c>
      <c r="X31" s="5">
        <f t="shared" si="2"/>
        <v>0</v>
      </c>
    </row>
    <row r="32" spans="1:24" x14ac:dyDescent="0.25">
      <c r="A32" s="2" t="s">
        <v>193</v>
      </c>
      <c r="B32" s="3" t="s">
        <v>15</v>
      </c>
      <c r="C32" s="4" t="s">
        <v>25</v>
      </c>
      <c r="D32" t="s">
        <v>27</v>
      </c>
      <c r="E32" s="4" t="s">
        <v>18</v>
      </c>
      <c r="F32" s="4" t="s">
        <v>17</v>
      </c>
      <c r="G32" s="4" t="s">
        <v>23</v>
      </c>
      <c r="H32" s="4" t="s">
        <v>24</v>
      </c>
      <c r="I32" s="6" t="s">
        <v>202</v>
      </c>
      <c r="J32" s="5">
        <v>40</v>
      </c>
      <c r="K32" s="5">
        <v>2512031</v>
      </c>
      <c r="L32" s="5">
        <v>16000</v>
      </c>
      <c r="M32" s="5"/>
      <c r="N32" s="5">
        <v>8000</v>
      </c>
      <c r="O32" s="5">
        <f t="shared" si="0"/>
        <v>8000</v>
      </c>
      <c r="T32">
        <f t="shared" si="1"/>
        <v>5000</v>
      </c>
      <c r="U32" t="s">
        <v>59</v>
      </c>
      <c r="V32" s="11">
        <v>11000</v>
      </c>
      <c r="W32" s="5">
        <v>11000</v>
      </c>
      <c r="X32" s="5">
        <f t="shared" si="2"/>
        <v>0</v>
      </c>
    </row>
    <row r="33" spans="1:24" x14ac:dyDescent="0.25">
      <c r="A33" s="2" t="s">
        <v>193</v>
      </c>
      <c r="B33" s="3" t="s">
        <v>195</v>
      </c>
      <c r="C33" s="3" t="s">
        <v>195</v>
      </c>
      <c r="D33" t="s">
        <v>90</v>
      </c>
      <c r="E33" s="4" t="s">
        <v>196</v>
      </c>
      <c r="F33" s="4" t="s">
        <v>17</v>
      </c>
      <c r="G33" s="4" t="s">
        <v>197</v>
      </c>
      <c r="H33" s="4" t="s">
        <v>40</v>
      </c>
      <c r="I33" s="6" t="s">
        <v>205</v>
      </c>
      <c r="J33" s="5">
        <v>40</v>
      </c>
      <c r="K33" s="5">
        <v>2512032</v>
      </c>
      <c r="L33" s="5">
        <v>15000</v>
      </c>
      <c r="M33" s="5"/>
      <c r="N33" s="5">
        <v>15000</v>
      </c>
      <c r="O33" s="5">
        <f t="shared" si="0"/>
        <v>0</v>
      </c>
      <c r="T33">
        <f t="shared" si="1"/>
        <v>3500</v>
      </c>
      <c r="U33" t="s">
        <v>58</v>
      </c>
      <c r="V33" s="11">
        <v>11500</v>
      </c>
      <c r="W33" s="5">
        <v>11500</v>
      </c>
      <c r="X33" s="5">
        <f t="shared" si="2"/>
        <v>0</v>
      </c>
    </row>
    <row r="34" spans="1:24" s="7" customFormat="1" x14ac:dyDescent="0.25">
      <c r="A34" s="2" t="s">
        <v>193</v>
      </c>
      <c r="B34" s="3" t="s">
        <v>15</v>
      </c>
      <c r="C34" s="4" t="s">
        <v>198</v>
      </c>
      <c r="D34" t="s">
        <v>143</v>
      </c>
      <c r="E34" s="4" t="s">
        <v>33</v>
      </c>
      <c r="F34" s="4" t="s">
        <v>17</v>
      </c>
      <c r="G34" s="4" t="s">
        <v>34</v>
      </c>
      <c r="H34" s="4" t="s">
        <v>131</v>
      </c>
      <c r="I34" s="6" t="s">
        <v>203</v>
      </c>
      <c r="J34" s="5">
        <v>20</v>
      </c>
      <c r="K34" s="5">
        <v>2512033</v>
      </c>
      <c r="L34" s="5">
        <v>16000</v>
      </c>
      <c r="M34" s="5"/>
      <c r="N34" s="5">
        <v>8000</v>
      </c>
      <c r="O34" s="9">
        <f t="shared" si="0"/>
        <v>8000</v>
      </c>
      <c r="T34">
        <f t="shared" si="1"/>
        <v>4000</v>
      </c>
      <c r="U34" t="s">
        <v>141</v>
      </c>
      <c r="V34" s="11">
        <v>12000</v>
      </c>
      <c r="W34" s="7">
        <v>12000</v>
      </c>
      <c r="X34" s="9">
        <f t="shared" si="2"/>
        <v>0</v>
      </c>
    </row>
    <row r="35" spans="1:24" x14ac:dyDescent="0.25">
      <c r="A35" s="2" t="s">
        <v>193</v>
      </c>
      <c r="B35" s="3" t="s">
        <v>19</v>
      </c>
      <c r="C35" s="4" t="s">
        <v>21</v>
      </c>
      <c r="D35" t="s">
        <v>57</v>
      </c>
      <c r="E35" s="4" t="s">
        <v>18</v>
      </c>
      <c r="F35" s="4" t="s">
        <v>17</v>
      </c>
      <c r="G35" s="4" t="s">
        <v>23</v>
      </c>
      <c r="H35" s="4" t="s">
        <v>127</v>
      </c>
      <c r="I35" s="8" t="s">
        <v>204</v>
      </c>
      <c r="J35" s="5">
        <v>20</v>
      </c>
      <c r="K35" s="5">
        <v>2512034</v>
      </c>
      <c r="L35" s="5">
        <v>10000</v>
      </c>
      <c r="M35" s="5"/>
      <c r="N35" s="5">
        <v>5000</v>
      </c>
      <c r="O35" s="5">
        <f t="shared" si="0"/>
        <v>5000</v>
      </c>
      <c r="P35" s="5"/>
      <c r="T35">
        <f t="shared" si="1"/>
        <v>0</v>
      </c>
      <c r="U35" t="s">
        <v>61</v>
      </c>
      <c r="V35" s="11">
        <v>10000</v>
      </c>
      <c r="W35" s="5">
        <v>10000</v>
      </c>
      <c r="X35" s="5">
        <f t="shared" si="2"/>
        <v>0</v>
      </c>
    </row>
    <row r="36" spans="1:24" x14ac:dyDescent="0.25">
      <c r="A36" s="2" t="s">
        <v>206</v>
      </c>
      <c r="B36" s="3" t="s">
        <v>15</v>
      </c>
      <c r="C36" s="4" t="s">
        <v>16</v>
      </c>
      <c r="D36" t="s">
        <v>66</v>
      </c>
      <c r="E36" s="4" t="s">
        <v>18</v>
      </c>
      <c r="F36" s="4" t="s">
        <v>17</v>
      </c>
      <c r="G36" s="4" t="s">
        <v>32</v>
      </c>
      <c r="H36" s="4" t="s">
        <v>40</v>
      </c>
      <c r="I36" s="6" t="s">
        <v>208</v>
      </c>
      <c r="J36" s="5">
        <v>40</v>
      </c>
      <c r="K36" s="5">
        <v>2512035</v>
      </c>
      <c r="L36" s="5">
        <v>12500</v>
      </c>
      <c r="M36" s="5">
        <v>6000</v>
      </c>
      <c r="N36" s="5">
        <v>6500</v>
      </c>
      <c r="O36" s="5">
        <f t="shared" si="0"/>
        <v>12000</v>
      </c>
      <c r="T36">
        <f t="shared" si="1"/>
        <v>6000</v>
      </c>
      <c r="U36" t="s">
        <v>58</v>
      </c>
      <c r="V36" s="11">
        <v>12500</v>
      </c>
      <c r="W36" s="5">
        <v>12500</v>
      </c>
      <c r="X36" s="5">
        <f t="shared" si="2"/>
        <v>0</v>
      </c>
    </row>
    <row r="37" spans="1:24" x14ac:dyDescent="0.25">
      <c r="A37" s="2" t="s">
        <v>206</v>
      </c>
      <c r="B37" s="3" t="s">
        <v>15</v>
      </c>
      <c r="C37" s="4" t="s">
        <v>16</v>
      </c>
      <c r="D37" t="s">
        <v>66</v>
      </c>
      <c r="E37" s="4" t="s">
        <v>18</v>
      </c>
      <c r="F37" s="4" t="s">
        <v>17</v>
      </c>
      <c r="G37" s="4" t="s">
        <v>32</v>
      </c>
      <c r="H37" s="4" t="s">
        <v>20</v>
      </c>
      <c r="I37" s="12" t="s">
        <v>209</v>
      </c>
      <c r="J37" s="5">
        <v>40</v>
      </c>
      <c r="K37" s="5">
        <v>2512036</v>
      </c>
      <c r="L37" s="5">
        <v>12500</v>
      </c>
      <c r="M37" s="5">
        <v>6000</v>
      </c>
      <c r="N37" s="5">
        <v>6500</v>
      </c>
      <c r="O37" s="13">
        <f t="shared" si="0"/>
        <v>12000</v>
      </c>
      <c r="T37">
        <f t="shared" si="1"/>
        <v>6000</v>
      </c>
      <c r="U37" t="s">
        <v>54</v>
      </c>
      <c r="V37" s="11">
        <v>12500</v>
      </c>
      <c r="W37" s="13">
        <v>12500</v>
      </c>
      <c r="X37" s="13">
        <f t="shared" si="2"/>
        <v>0</v>
      </c>
    </row>
    <row r="38" spans="1:24" x14ac:dyDescent="0.25">
      <c r="A38" s="2" t="s">
        <v>206</v>
      </c>
      <c r="B38" s="3" t="s">
        <v>19</v>
      </c>
      <c r="C38" s="4" t="s">
        <v>16</v>
      </c>
      <c r="D38" t="s">
        <v>66</v>
      </c>
      <c r="E38" s="4" t="s">
        <v>18</v>
      </c>
      <c r="F38" s="4" t="s">
        <v>17</v>
      </c>
      <c r="G38" s="4" t="s">
        <v>32</v>
      </c>
      <c r="H38" s="4" t="s">
        <v>64</v>
      </c>
      <c r="I38" s="6" t="s">
        <v>210</v>
      </c>
      <c r="J38" s="5">
        <v>40</v>
      </c>
      <c r="K38" s="5">
        <v>2512037</v>
      </c>
      <c r="L38" s="5">
        <v>13500</v>
      </c>
      <c r="M38" s="5">
        <v>4000</v>
      </c>
      <c r="N38" s="5">
        <v>6500</v>
      </c>
      <c r="O38" s="5">
        <f t="shared" si="0"/>
        <v>11000</v>
      </c>
      <c r="T38">
        <f t="shared" si="1"/>
        <v>1000</v>
      </c>
      <c r="U38" t="s">
        <v>140</v>
      </c>
      <c r="V38" s="11">
        <v>16500</v>
      </c>
      <c r="W38" s="13">
        <v>16500</v>
      </c>
      <c r="X38" s="5">
        <f t="shared" si="2"/>
        <v>0</v>
      </c>
    </row>
    <row r="39" spans="1:24" s="7" customFormat="1" x14ac:dyDescent="0.25">
      <c r="A39" s="2" t="s">
        <v>206</v>
      </c>
      <c r="B39" s="3" t="s">
        <v>19</v>
      </c>
      <c r="C39" s="4" t="s">
        <v>122</v>
      </c>
      <c r="D39" t="s">
        <v>23</v>
      </c>
      <c r="E39" s="4" t="s">
        <v>18</v>
      </c>
      <c r="F39" s="4" t="s">
        <v>22</v>
      </c>
      <c r="G39" s="4" t="s">
        <v>93</v>
      </c>
      <c r="H39" s="4" t="s">
        <v>133</v>
      </c>
      <c r="I39" s="6" t="s">
        <v>211</v>
      </c>
      <c r="J39" s="5">
        <v>40</v>
      </c>
      <c r="K39" s="5">
        <v>2512038</v>
      </c>
      <c r="L39" s="7">
        <v>16000</v>
      </c>
      <c r="N39" s="7">
        <v>8000</v>
      </c>
      <c r="O39" s="9">
        <f t="shared" si="0"/>
        <v>8000</v>
      </c>
      <c r="T39">
        <f t="shared" si="1"/>
        <v>1000</v>
      </c>
      <c r="U39" t="s">
        <v>60</v>
      </c>
      <c r="V39" s="11">
        <v>15000</v>
      </c>
      <c r="W39" s="13"/>
      <c r="X39" s="9">
        <f t="shared" si="2"/>
        <v>15000</v>
      </c>
    </row>
    <row r="40" spans="1:24" x14ac:dyDescent="0.25">
      <c r="A40" s="2" t="s">
        <v>206</v>
      </c>
      <c r="B40" s="3" t="s">
        <v>15</v>
      </c>
      <c r="C40" s="4" t="s">
        <v>207</v>
      </c>
      <c r="D40" t="s">
        <v>162</v>
      </c>
      <c r="E40" s="4" t="s">
        <v>18</v>
      </c>
      <c r="F40" s="4" t="s">
        <v>22</v>
      </c>
      <c r="G40" s="4" t="s">
        <v>93</v>
      </c>
      <c r="H40" s="4" t="s">
        <v>24</v>
      </c>
      <c r="I40" s="6" t="s">
        <v>212</v>
      </c>
      <c r="J40" s="5">
        <v>40</v>
      </c>
      <c r="K40" s="5">
        <v>2512039</v>
      </c>
      <c r="L40" s="7">
        <v>16000</v>
      </c>
      <c r="M40" s="7"/>
      <c r="N40" s="7">
        <v>8000</v>
      </c>
      <c r="O40" s="5">
        <f t="shared" si="0"/>
        <v>8000</v>
      </c>
      <c r="T40">
        <f t="shared" si="1"/>
        <v>5000</v>
      </c>
      <c r="U40" t="s">
        <v>59</v>
      </c>
      <c r="V40" s="11">
        <v>11000</v>
      </c>
      <c r="W40" s="13">
        <v>11000</v>
      </c>
      <c r="X40" s="5">
        <f t="shared" si="2"/>
        <v>0</v>
      </c>
    </row>
    <row r="41" spans="1:24" x14ac:dyDescent="0.25">
      <c r="A41" s="2" t="s">
        <v>213</v>
      </c>
      <c r="B41" s="3" t="s">
        <v>15</v>
      </c>
      <c r="C41" s="4" t="s">
        <v>16</v>
      </c>
      <c r="D41" t="s">
        <v>90</v>
      </c>
      <c r="E41" s="4" t="s">
        <v>18</v>
      </c>
      <c r="F41" s="4" t="s">
        <v>17</v>
      </c>
      <c r="G41" s="4" t="s">
        <v>197</v>
      </c>
      <c r="H41" s="4" t="s">
        <v>24</v>
      </c>
      <c r="I41" s="6" t="s">
        <v>215</v>
      </c>
      <c r="J41" s="5">
        <v>40</v>
      </c>
      <c r="K41" s="5">
        <v>2512040</v>
      </c>
      <c r="L41" s="7">
        <v>12500</v>
      </c>
      <c r="M41" s="7">
        <v>6000</v>
      </c>
      <c r="N41" s="5">
        <v>6500</v>
      </c>
      <c r="O41" s="5">
        <f t="shared" si="0"/>
        <v>12000</v>
      </c>
      <c r="P41" s="7"/>
      <c r="T41">
        <f t="shared" si="1"/>
        <v>6000</v>
      </c>
      <c r="U41" t="s">
        <v>59</v>
      </c>
      <c r="V41" s="11">
        <v>12500</v>
      </c>
      <c r="W41" s="13">
        <v>12500</v>
      </c>
      <c r="X41" s="5">
        <f t="shared" si="2"/>
        <v>0</v>
      </c>
    </row>
    <row r="42" spans="1:24" x14ac:dyDescent="0.25">
      <c r="A42" s="2" t="s">
        <v>213</v>
      </c>
      <c r="B42" s="3" t="s">
        <v>15</v>
      </c>
      <c r="C42" s="4" t="s">
        <v>16</v>
      </c>
      <c r="D42" t="s">
        <v>90</v>
      </c>
      <c r="E42" s="4" t="s">
        <v>18</v>
      </c>
      <c r="F42" s="4" t="s">
        <v>17</v>
      </c>
      <c r="G42" s="4" t="s">
        <v>197</v>
      </c>
      <c r="H42" s="4" t="s">
        <v>20</v>
      </c>
      <c r="I42" s="4" t="s">
        <v>216</v>
      </c>
      <c r="J42" s="5">
        <v>40</v>
      </c>
      <c r="K42" s="5">
        <v>2512041</v>
      </c>
      <c r="L42" s="7">
        <v>12500</v>
      </c>
      <c r="M42" s="7">
        <v>6000</v>
      </c>
      <c r="N42" s="5">
        <v>6500</v>
      </c>
      <c r="O42" s="5">
        <f t="shared" si="0"/>
        <v>12000</v>
      </c>
      <c r="T42">
        <f t="shared" si="1"/>
        <v>6000</v>
      </c>
      <c r="U42" t="s">
        <v>54</v>
      </c>
      <c r="V42" s="11">
        <v>12500</v>
      </c>
      <c r="W42" s="5">
        <v>12500</v>
      </c>
      <c r="X42" s="5">
        <f t="shared" si="2"/>
        <v>0</v>
      </c>
    </row>
    <row r="43" spans="1:24" x14ac:dyDescent="0.25">
      <c r="A43" s="2" t="s">
        <v>213</v>
      </c>
      <c r="B43" s="3" t="s">
        <v>19</v>
      </c>
      <c r="C43" s="4" t="s">
        <v>16</v>
      </c>
      <c r="D43" t="s">
        <v>90</v>
      </c>
      <c r="E43" s="4" t="s">
        <v>18</v>
      </c>
      <c r="F43" s="4" t="s">
        <v>17</v>
      </c>
      <c r="G43" s="4" t="s">
        <v>197</v>
      </c>
      <c r="H43" s="4" t="s">
        <v>65</v>
      </c>
      <c r="I43" s="4" t="s">
        <v>217</v>
      </c>
      <c r="J43" s="5">
        <v>40</v>
      </c>
      <c r="K43" s="5">
        <v>2512042</v>
      </c>
      <c r="L43" s="7">
        <v>13500</v>
      </c>
      <c r="M43" s="7">
        <v>6000</v>
      </c>
      <c r="N43" s="5">
        <v>6500</v>
      </c>
      <c r="O43" s="5">
        <f t="shared" si="0"/>
        <v>13000</v>
      </c>
      <c r="T43">
        <f t="shared" si="1"/>
        <v>2000</v>
      </c>
      <c r="U43" t="s">
        <v>140</v>
      </c>
      <c r="V43" s="11">
        <v>17500</v>
      </c>
      <c r="W43" s="13">
        <v>17500</v>
      </c>
      <c r="X43" s="5">
        <f t="shared" si="2"/>
        <v>0</v>
      </c>
    </row>
    <row r="44" spans="1:24" x14ac:dyDescent="0.25">
      <c r="A44" s="2" t="s">
        <v>213</v>
      </c>
      <c r="B44" s="3" t="s">
        <v>19</v>
      </c>
      <c r="C44" s="4" t="s">
        <v>16</v>
      </c>
      <c r="D44" t="s">
        <v>90</v>
      </c>
      <c r="E44" s="4" t="s">
        <v>18</v>
      </c>
      <c r="F44" s="4" t="s">
        <v>17</v>
      </c>
      <c r="G44" s="4" t="s">
        <v>197</v>
      </c>
      <c r="H44" s="4" t="s">
        <v>64</v>
      </c>
      <c r="I44" s="4" t="s">
        <v>218</v>
      </c>
      <c r="J44" s="5">
        <v>40</v>
      </c>
      <c r="K44" s="5">
        <v>2512043</v>
      </c>
      <c r="L44" s="7">
        <v>13500</v>
      </c>
      <c r="M44" s="7">
        <v>6000</v>
      </c>
      <c r="N44" s="5">
        <v>6500</v>
      </c>
      <c r="O44" s="5">
        <f t="shared" si="0"/>
        <v>13000</v>
      </c>
      <c r="T44">
        <f t="shared" si="1"/>
        <v>2000</v>
      </c>
      <c r="U44" t="s">
        <v>140</v>
      </c>
      <c r="V44" s="11">
        <v>17500</v>
      </c>
      <c r="W44" s="13">
        <v>17500</v>
      </c>
      <c r="X44" s="5">
        <f t="shared" si="2"/>
        <v>0</v>
      </c>
    </row>
    <row r="45" spans="1:24" x14ac:dyDescent="0.25">
      <c r="A45" s="2" t="s">
        <v>213</v>
      </c>
      <c r="B45" s="4" t="s">
        <v>45</v>
      </c>
      <c r="C45" s="4" t="s">
        <v>214</v>
      </c>
      <c r="D45" s="4" t="s">
        <v>162</v>
      </c>
      <c r="E45" s="4" t="s">
        <v>18</v>
      </c>
      <c r="F45" s="4" t="s">
        <v>22</v>
      </c>
      <c r="G45" s="4" t="s">
        <v>91</v>
      </c>
      <c r="H45" s="4" t="s">
        <v>40</v>
      </c>
      <c r="I45" s="4" t="s">
        <v>219</v>
      </c>
      <c r="J45" s="5">
        <v>40</v>
      </c>
      <c r="K45" s="5">
        <v>2512044</v>
      </c>
      <c r="L45" s="7">
        <v>15000</v>
      </c>
      <c r="N45" s="7"/>
      <c r="O45" s="5">
        <f t="shared" si="0"/>
        <v>15000</v>
      </c>
      <c r="T45">
        <f t="shared" si="1"/>
        <v>4000</v>
      </c>
      <c r="U45" t="s">
        <v>58</v>
      </c>
      <c r="V45" s="11">
        <v>11000</v>
      </c>
      <c r="W45" s="13">
        <v>11000</v>
      </c>
      <c r="X45" s="5">
        <f t="shared" si="2"/>
        <v>0</v>
      </c>
    </row>
    <row r="46" spans="1:24" x14ac:dyDescent="0.25">
      <c r="A46" s="2" t="s">
        <v>220</v>
      </c>
      <c r="B46" s="3" t="s">
        <v>19</v>
      </c>
      <c r="C46" s="4" t="s">
        <v>16</v>
      </c>
      <c r="D46" t="s">
        <v>90</v>
      </c>
      <c r="E46" s="4" t="s">
        <v>18</v>
      </c>
      <c r="F46" s="4" t="s">
        <v>17</v>
      </c>
      <c r="G46" s="4" t="s">
        <v>197</v>
      </c>
      <c r="H46" s="4" t="s">
        <v>41</v>
      </c>
      <c r="I46" s="4" t="s">
        <v>221</v>
      </c>
      <c r="J46" s="5">
        <v>40</v>
      </c>
      <c r="K46" s="5">
        <v>2512045</v>
      </c>
      <c r="L46" s="7">
        <v>13500</v>
      </c>
      <c r="M46" s="7">
        <v>2000</v>
      </c>
      <c r="N46" s="7">
        <v>6500</v>
      </c>
      <c r="O46" s="5">
        <f t="shared" si="0"/>
        <v>9000</v>
      </c>
      <c r="T46">
        <f t="shared" si="1"/>
        <v>1000</v>
      </c>
      <c r="U46" t="s">
        <v>60</v>
      </c>
      <c r="V46" s="11">
        <v>14500</v>
      </c>
      <c r="W46" s="13"/>
      <c r="X46" s="5">
        <f t="shared" si="2"/>
        <v>14500</v>
      </c>
    </row>
    <row r="47" spans="1:24" x14ac:dyDescent="0.25">
      <c r="A47" s="2" t="s">
        <v>220</v>
      </c>
      <c r="B47" s="3" t="s">
        <v>19</v>
      </c>
      <c r="C47" s="4" t="s">
        <v>16</v>
      </c>
      <c r="D47" t="s">
        <v>90</v>
      </c>
      <c r="E47" s="4" t="s">
        <v>18</v>
      </c>
      <c r="F47" s="4" t="s">
        <v>17</v>
      </c>
      <c r="G47" s="4" t="s">
        <v>197</v>
      </c>
      <c r="H47" s="4" t="s">
        <v>133</v>
      </c>
      <c r="I47" s="4" t="s">
        <v>222</v>
      </c>
      <c r="J47" s="5">
        <v>40</v>
      </c>
      <c r="K47" s="5">
        <v>2512046</v>
      </c>
      <c r="L47" s="7">
        <v>13500</v>
      </c>
      <c r="M47" s="7">
        <v>2000</v>
      </c>
      <c r="N47" s="7">
        <v>6500</v>
      </c>
      <c r="O47" s="5">
        <f t="shared" si="0"/>
        <v>9000</v>
      </c>
      <c r="T47">
        <f t="shared" si="1"/>
        <v>1000</v>
      </c>
      <c r="U47" t="s">
        <v>60</v>
      </c>
      <c r="V47" s="11">
        <v>14500</v>
      </c>
      <c r="W47" s="13"/>
      <c r="X47" s="5">
        <f t="shared" si="2"/>
        <v>14500</v>
      </c>
    </row>
    <row r="48" spans="1:24" x14ac:dyDescent="0.25">
      <c r="A48" s="2" t="s">
        <v>220</v>
      </c>
      <c r="B48" s="3" t="s">
        <v>19</v>
      </c>
      <c r="C48" s="4" t="s">
        <v>16</v>
      </c>
      <c r="D48" t="s">
        <v>90</v>
      </c>
      <c r="E48" s="4" t="s">
        <v>18</v>
      </c>
      <c r="F48" s="4" t="s">
        <v>17</v>
      </c>
      <c r="G48" s="4" t="s">
        <v>197</v>
      </c>
      <c r="H48" s="4" t="s">
        <v>31</v>
      </c>
      <c r="I48" s="4" t="s">
        <v>223</v>
      </c>
      <c r="J48" s="5">
        <v>40</v>
      </c>
      <c r="K48" s="5">
        <v>2512047</v>
      </c>
      <c r="L48" s="7">
        <v>13500</v>
      </c>
      <c r="M48" s="7">
        <v>2000</v>
      </c>
      <c r="N48" s="7">
        <v>6500</v>
      </c>
      <c r="O48" s="5">
        <f t="shared" si="0"/>
        <v>9000</v>
      </c>
      <c r="T48">
        <f t="shared" si="1"/>
        <v>1000</v>
      </c>
      <c r="U48" t="s">
        <v>60</v>
      </c>
      <c r="V48" s="11">
        <v>14500</v>
      </c>
      <c r="W48" s="13"/>
      <c r="X48" s="5">
        <f t="shared" si="2"/>
        <v>14500</v>
      </c>
    </row>
    <row r="49" spans="1:24" x14ac:dyDescent="0.25">
      <c r="A49" s="2" t="s">
        <v>220</v>
      </c>
      <c r="B49" s="3" t="s">
        <v>15</v>
      </c>
      <c r="C49" s="4" t="s">
        <v>198</v>
      </c>
      <c r="D49" t="s">
        <v>150</v>
      </c>
      <c r="E49" s="4" t="s">
        <v>33</v>
      </c>
      <c r="F49" s="4" t="s">
        <v>17</v>
      </c>
      <c r="G49" s="4" t="s">
        <v>23</v>
      </c>
      <c r="H49" s="4" t="s">
        <v>40</v>
      </c>
      <c r="I49" s="4" t="s">
        <v>224</v>
      </c>
      <c r="J49" s="5">
        <v>40</v>
      </c>
      <c r="K49" s="5">
        <v>2512048</v>
      </c>
      <c r="L49" s="7">
        <v>22000</v>
      </c>
      <c r="N49" s="7">
        <v>12000</v>
      </c>
      <c r="O49" s="5">
        <f t="shared" si="0"/>
        <v>10000</v>
      </c>
      <c r="P49" s="5"/>
      <c r="T49">
        <f t="shared" si="1"/>
        <v>6000</v>
      </c>
      <c r="U49" t="s">
        <v>58</v>
      </c>
      <c r="V49" s="11">
        <v>16000</v>
      </c>
      <c r="W49" s="13">
        <v>16000</v>
      </c>
      <c r="X49" s="5">
        <f t="shared" si="2"/>
        <v>0</v>
      </c>
    </row>
    <row r="50" spans="1:24" x14ac:dyDescent="0.25">
      <c r="A50" s="2" t="s">
        <v>220</v>
      </c>
      <c r="B50" s="4" t="s">
        <v>47</v>
      </c>
      <c r="C50" s="4" t="s">
        <v>124</v>
      </c>
      <c r="D50" t="s">
        <v>93</v>
      </c>
      <c r="E50" s="4" t="s">
        <v>116</v>
      </c>
      <c r="F50" s="4" t="s">
        <v>17</v>
      </c>
      <c r="G50" s="4" t="s">
        <v>32</v>
      </c>
      <c r="H50" s="4" t="s">
        <v>51</v>
      </c>
      <c r="I50" s="4" t="s">
        <v>225</v>
      </c>
      <c r="J50" s="5">
        <v>20</v>
      </c>
      <c r="K50" s="5">
        <v>2512053</v>
      </c>
      <c r="L50" s="7">
        <v>11000</v>
      </c>
      <c r="N50" s="7"/>
      <c r="O50" s="5">
        <f t="shared" si="0"/>
        <v>11000</v>
      </c>
      <c r="T50">
        <f t="shared" si="1"/>
        <v>3500</v>
      </c>
      <c r="U50" t="s">
        <v>134</v>
      </c>
      <c r="V50" s="11">
        <v>7500</v>
      </c>
      <c r="W50" s="13">
        <v>7500</v>
      </c>
      <c r="X50" s="5">
        <f t="shared" si="2"/>
        <v>0</v>
      </c>
    </row>
    <row r="51" spans="1:24" x14ac:dyDescent="0.25">
      <c r="A51" s="2" t="s">
        <v>226</v>
      </c>
      <c r="B51" s="3" t="s">
        <v>19</v>
      </c>
      <c r="C51" s="4" t="s">
        <v>16</v>
      </c>
      <c r="D51" t="s">
        <v>143</v>
      </c>
      <c r="E51" s="4" t="s">
        <v>18</v>
      </c>
      <c r="F51" s="4" t="s">
        <v>17</v>
      </c>
      <c r="G51" s="4" t="s">
        <v>34</v>
      </c>
      <c r="H51" s="4" t="s">
        <v>227</v>
      </c>
      <c r="I51" s="4" t="s">
        <v>228</v>
      </c>
      <c r="J51" s="5">
        <v>40</v>
      </c>
      <c r="K51" s="5">
        <v>2512050</v>
      </c>
      <c r="L51" s="7">
        <v>13500</v>
      </c>
      <c r="N51" s="7">
        <v>6500</v>
      </c>
      <c r="O51" s="5">
        <f t="shared" si="0"/>
        <v>7000</v>
      </c>
      <c r="T51">
        <f t="shared" si="1"/>
        <v>500</v>
      </c>
      <c r="U51" t="s">
        <v>320</v>
      </c>
      <c r="V51" s="11">
        <v>13000</v>
      </c>
      <c r="W51" s="13">
        <v>13000</v>
      </c>
      <c r="X51" s="5">
        <f t="shared" si="2"/>
        <v>0</v>
      </c>
    </row>
    <row r="52" spans="1:24" x14ac:dyDescent="0.25">
      <c r="A52" s="2" t="s">
        <v>226</v>
      </c>
      <c r="B52" s="3" t="s">
        <v>15</v>
      </c>
      <c r="C52" s="4" t="s">
        <v>16</v>
      </c>
      <c r="D52" t="s">
        <v>143</v>
      </c>
      <c r="E52" s="4" t="s">
        <v>18</v>
      </c>
      <c r="F52" s="4" t="s">
        <v>17</v>
      </c>
      <c r="G52" s="4" t="s">
        <v>34</v>
      </c>
      <c r="H52" s="4" t="s">
        <v>40</v>
      </c>
      <c r="I52" s="4" t="s">
        <v>229</v>
      </c>
      <c r="J52" s="5">
        <v>20</v>
      </c>
      <c r="K52" s="5">
        <v>2512051</v>
      </c>
      <c r="L52" s="7">
        <v>10000</v>
      </c>
      <c r="N52" s="7">
        <v>5000</v>
      </c>
      <c r="O52" s="5">
        <f t="shared" si="0"/>
        <v>5000</v>
      </c>
      <c r="T52">
        <f t="shared" si="1"/>
        <v>4000</v>
      </c>
      <c r="U52" t="s">
        <v>58</v>
      </c>
      <c r="V52" s="11">
        <v>6000</v>
      </c>
      <c r="W52" s="13">
        <v>6000</v>
      </c>
      <c r="X52" s="5">
        <f t="shared" si="2"/>
        <v>0</v>
      </c>
    </row>
    <row r="53" spans="1:24" x14ac:dyDescent="0.25">
      <c r="A53" s="2" t="s">
        <v>226</v>
      </c>
      <c r="B53" s="3" t="s">
        <v>15</v>
      </c>
      <c r="C53" s="4" t="s">
        <v>16</v>
      </c>
      <c r="D53" t="s">
        <v>143</v>
      </c>
      <c r="E53" s="4" t="s">
        <v>18</v>
      </c>
      <c r="F53" s="4" t="s">
        <v>17</v>
      </c>
      <c r="G53" s="4" t="s">
        <v>34</v>
      </c>
      <c r="H53" s="4" t="s">
        <v>40</v>
      </c>
      <c r="I53" s="4" t="s">
        <v>230</v>
      </c>
      <c r="J53" s="5">
        <v>20</v>
      </c>
      <c r="K53" s="5">
        <v>2512052</v>
      </c>
      <c r="L53" s="7">
        <v>10000</v>
      </c>
      <c r="N53" s="7">
        <v>5000</v>
      </c>
      <c r="O53" s="5">
        <f t="shared" si="0"/>
        <v>5000</v>
      </c>
      <c r="T53">
        <f t="shared" si="1"/>
        <v>4000</v>
      </c>
      <c r="U53" t="s">
        <v>58</v>
      </c>
      <c r="V53" s="11">
        <v>6000</v>
      </c>
      <c r="W53" s="13">
        <v>6000</v>
      </c>
      <c r="X53" s="5">
        <f t="shared" si="2"/>
        <v>0</v>
      </c>
    </row>
    <row r="54" spans="1:24" x14ac:dyDescent="0.25">
      <c r="A54" s="2" t="s">
        <v>226</v>
      </c>
      <c r="B54" s="3" t="s">
        <v>15</v>
      </c>
      <c r="C54" s="4" t="s">
        <v>128</v>
      </c>
      <c r="D54" t="s">
        <v>135</v>
      </c>
      <c r="E54" s="4" t="s">
        <v>18</v>
      </c>
      <c r="F54" s="4" t="s">
        <v>17</v>
      </c>
      <c r="G54" s="4" t="s">
        <v>23</v>
      </c>
      <c r="H54" s="4" t="s">
        <v>131</v>
      </c>
      <c r="I54" s="4" t="s">
        <v>231</v>
      </c>
      <c r="J54" s="5">
        <v>20</v>
      </c>
      <c r="K54" s="5">
        <v>2512053</v>
      </c>
      <c r="L54" s="7">
        <v>10000</v>
      </c>
      <c r="M54">
        <v>2000</v>
      </c>
      <c r="N54" s="7">
        <v>5000</v>
      </c>
      <c r="O54" s="5">
        <f t="shared" si="0"/>
        <v>7000</v>
      </c>
      <c r="T54">
        <f t="shared" si="1"/>
        <v>3500</v>
      </c>
      <c r="U54" t="s">
        <v>141</v>
      </c>
      <c r="V54" s="11">
        <v>8500</v>
      </c>
      <c r="W54" s="5">
        <v>8500</v>
      </c>
      <c r="X54" s="5">
        <f t="shared" si="2"/>
        <v>0</v>
      </c>
    </row>
    <row r="55" spans="1:24" x14ac:dyDescent="0.25">
      <c r="A55" s="2" t="s">
        <v>232</v>
      </c>
      <c r="B55" s="3" t="s">
        <v>15</v>
      </c>
      <c r="C55" s="4" t="s">
        <v>16</v>
      </c>
      <c r="D55" t="s">
        <v>67</v>
      </c>
      <c r="E55" s="4" t="s">
        <v>18</v>
      </c>
      <c r="F55" s="4" t="s">
        <v>17</v>
      </c>
      <c r="G55" s="4" t="s">
        <v>23</v>
      </c>
      <c r="H55" s="4" t="s">
        <v>24</v>
      </c>
      <c r="I55" s="4" t="s">
        <v>238</v>
      </c>
      <c r="J55" s="5">
        <v>40</v>
      </c>
      <c r="K55" s="5">
        <v>2512054</v>
      </c>
      <c r="L55" s="7">
        <v>12500</v>
      </c>
      <c r="N55" s="7">
        <v>6500</v>
      </c>
      <c r="O55" s="5">
        <f t="shared" si="0"/>
        <v>6000</v>
      </c>
      <c r="T55">
        <f t="shared" si="1"/>
        <v>2500</v>
      </c>
      <c r="U55" t="s">
        <v>59</v>
      </c>
      <c r="V55" s="11">
        <v>10000</v>
      </c>
      <c r="W55" s="5">
        <v>10000</v>
      </c>
      <c r="X55" s="5">
        <f t="shared" si="2"/>
        <v>0</v>
      </c>
    </row>
    <row r="56" spans="1:24" x14ac:dyDescent="0.25">
      <c r="A56" s="2" t="s">
        <v>232</v>
      </c>
      <c r="B56" s="3" t="s">
        <v>15</v>
      </c>
      <c r="C56" s="4" t="s">
        <v>16</v>
      </c>
      <c r="D56" t="s">
        <v>67</v>
      </c>
      <c r="E56" s="4" t="s">
        <v>18</v>
      </c>
      <c r="F56" s="4" t="s">
        <v>17</v>
      </c>
      <c r="G56" s="4" t="s">
        <v>23</v>
      </c>
      <c r="H56" s="4" t="s">
        <v>20</v>
      </c>
      <c r="I56" s="4" t="s">
        <v>239</v>
      </c>
      <c r="J56" s="5">
        <v>40</v>
      </c>
      <c r="K56" s="5">
        <v>2512055</v>
      </c>
      <c r="L56" s="7">
        <v>12500</v>
      </c>
      <c r="N56" s="7">
        <v>6500</v>
      </c>
      <c r="O56" s="5">
        <f t="shared" si="0"/>
        <v>6000</v>
      </c>
      <c r="T56">
        <f t="shared" si="1"/>
        <v>2500</v>
      </c>
      <c r="U56" t="s">
        <v>54</v>
      </c>
      <c r="V56" s="11">
        <v>10000</v>
      </c>
      <c r="W56" s="5">
        <v>10000</v>
      </c>
      <c r="X56" s="5">
        <f t="shared" si="2"/>
        <v>0</v>
      </c>
    </row>
    <row r="57" spans="1:24" x14ac:dyDescent="0.25">
      <c r="A57" s="2" t="s">
        <v>232</v>
      </c>
      <c r="B57" s="3" t="s">
        <v>19</v>
      </c>
      <c r="C57" s="4" t="s">
        <v>16</v>
      </c>
      <c r="D57" t="s">
        <v>67</v>
      </c>
      <c r="E57" s="4" t="s">
        <v>18</v>
      </c>
      <c r="F57" s="4" t="s">
        <v>17</v>
      </c>
      <c r="G57" s="4" t="s">
        <v>23</v>
      </c>
      <c r="H57" s="4" t="s">
        <v>64</v>
      </c>
      <c r="I57" s="4" t="s">
        <v>240</v>
      </c>
      <c r="J57" s="5">
        <v>40</v>
      </c>
      <c r="K57" s="5">
        <v>2512056</v>
      </c>
      <c r="L57" s="7">
        <v>13500</v>
      </c>
      <c r="N57" s="7">
        <v>6500</v>
      </c>
      <c r="O57" s="5">
        <f t="shared" si="0"/>
        <v>7000</v>
      </c>
      <c r="T57">
        <f t="shared" si="1"/>
        <v>500</v>
      </c>
      <c r="U57" t="s">
        <v>140</v>
      </c>
      <c r="V57" s="11">
        <v>13000</v>
      </c>
      <c r="W57" s="5">
        <v>13000</v>
      </c>
      <c r="X57" s="5">
        <f t="shared" si="2"/>
        <v>0</v>
      </c>
    </row>
    <row r="58" spans="1:24" x14ac:dyDescent="0.25">
      <c r="A58" s="2" t="s">
        <v>232</v>
      </c>
      <c r="B58" s="4" t="s">
        <v>139</v>
      </c>
      <c r="C58" s="4" t="s">
        <v>233</v>
      </c>
      <c r="D58" t="s">
        <v>138</v>
      </c>
      <c r="E58" s="4" t="s">
        <v>234</v>
      </c>
      <c r="F58" s="4" t="s">
        <v>146</v>
      </c>
      <c r="G58" s="4" t="s">
        <v>235</v>
      </c>
      <c r="H58" s="4" t="s">
        <v>40</v>
      </c>
      <c r="I58" s="4" t="s">
        <v>241</v>
      </c>
      <c r="J58" s="5">
        <v>40</v>
      </c>
      <c r="K58" s="5">
        <v>2512057</v>
      </c>
      <c r="L58" s="7">
        <v>3000</v>
      </c>
      <c r="N58" s="7">
        <v>3000</v>
      </c>
      <c r="O58" s="5">
        <f t="shared" si="0"/>
        <v>0</v>
      </c>
      <c r="T58">
        <f t="shared" si="1"/>
        <v>1000</v>
      </c>
      <c r="U58" t="s">
        <v>58</v>
      </c>
      <c r="V58" s="11">
        <v>2000</v>
      </c>
      <c r="W58" s="5">
        <v>2000</v>
      </c>
      <c r="X58" s="5">
        <f t="shared" si="2"/>
        <v>0</v>
      </c>
    </row>
    <row r="59" spans="1:24" x14ac:dyDescent="0.25">
      <c r="A59" s="2" t="s">
        <v>232</v>
      </c>
      <c r="B59" s="4" t="s">
        <v>139</v>
      </c>
      <c r="C59" s="4" t="s">
        <v>233</v>
      </c>
      <c r="D59" t="s">
        <v>138</v>
      </c>
      <c r="E59" s="4" t="s">
        <v>234</v>
      </c>
      <c r="F59" s="4" t="s">
        <v>146</v>
      </c>
      <c r="G59" s="4" t="s">
        <v>235</v>
      </c>
      <c r="H59" s="4" t="s">
        <v>40</v>
      </c>
      <c r="I59" s="4" t="s">
        <v>242</v>
      </c>
      <c r="J59" s="5">
        <v>40</v>
      </c>
      <c r="K59" s="5">
        <v>2512058</v>
      </c>
      <c r="L59" s="7">
        <v>3000</v>
      </c>
      <c r="N59" s="7">
        <v>3000</v>
      </c>
      <c r="O59" s="5">
        <f t="shared" si="0"/>
        <v>0</v>
      </c>
      <c r="T59">
        <f t="shared" si="1"/>
        <v>1000</v>
      </c>
      <c r="U59" t="s">
        <v>58</v>
      </c>
      <c r="V59" s="11">
        <v>2000</v>
      </c>
      <c r="W59" s="5">
        <v>2000</v>
      </c>
      <c r="X59" s="5">
        <f t="shared" si="2"/>
        <v>0</v>
      </c>
    </row>
    <row r="60" spans="1:24" x14ac:dyDescent="0.25">
      <c r="A60" s="2" t="s">
        <v>232</v>
      </c>
      <c r="B60" s="4" t="s">
        <v>236</v>
      </c>
      <c r="C60" s="4" t="s">
        <v>132</v>
      </c>
      <c r="D60" t="s">
        <v>237</v>
      </c>
      <c r="E60" s="4" t="s">
        <v>93</v>
      </c>
      <c r="F60" s="4" t="s">
        <v>146</v>
      </c>
      <c r="G60" s="4" t="s">
        <v>93</v>
      </c>
      <c r="H60" s="4" t="s">
        <v>24</v>
      </c>
      <c r="I60" s="4" t="s">
        <v>243</v>
      </c>
      <c r="J60" s="5">
        <v>40</v>
      </c>
      <c r="K60" s="5">
        <v>2512059</v>
      </c>
      <c r="L60" s="7">
        <v>3000</v>
      </c>
      <c r="N60" s="7">
        <v>3000</v>
      </c>
      <c r="O60" s="5">
        <f t="shared" si="0"/>
        <v>0</v>
      </c>
      <c r="T60">
        <f t="shared" si="1"/>
        <v>1500</v>
      </c>
      <c r="U60" t="s">
        <v>59</v>
      </c>
      <c r="V60" s="11">
        <v>1500</v>
      </c>
      <c r="W60" s="5">
        <v>1500</v>
      </c>
      <c r="X60" s="5">
        <f t="shared" si="2"/>
        <v>0</v>
      </c>
    </row>
    <row r="61" spans="1:24" x14ac:dyDescent="0.25">
      <c r="A61" s="2" t="s">
        <v>232</v>
      </c>
      <c r="B61" s="4" t="s">
        <v>236</v>
      </c>
      <c r="C61" s="4" t="s">
        <v>132</v>
      </c>
      <c r="D61" t="s">
        <v>237</v>
      </c>
      <c r="E61" s="4" t="s">
        <v>93</v>
      </c>
      <c r="F61" s="4" t="s">
        <v>146</v>
      </c>
      <c r="G61" s="4" t="s">
        <v>93</v>
      </c>
      <c r="H61" s="4" t="s">
        <v>20</v>
      </c>
      <c r="I61" s="4" t="s">
        <v>244</v>
      </c>
      <c r="J61" s="5">
        <v>40</v>
      </c>
      <c r="K61" s="5">
        <v>2512060</v>
      </c>
      <c r="L61" s="7">
        <v>3000</v>
      </c>
      <c r="N61" s="7">
        <v>3000</v>
      </c>
      <c r="O61" s="5">
        <f t="shared" si="0"/>
        <v>0</v>
      </c>
      <c r="T61">
        <f t="shared" si="1"/>
        <v>1500</v>
      </c>
      <c r="U61" t="s">
        <v>54</v>
      </c>
      <c r="V61" s="11">
        <v>1500</v>
      </c>
      <c r="W61" s="5">
        <v>1500</v>
      </c>
      <c r="X61" s="5">
        <f t="shared" si="2"/>
        <v>0</v>
      </c>
    </row>
    <row r="62" spans="1:24" x14ac:dyDescent="0.25">
      <c r="A62" s="2" t="s">
        <v>232</v>
      </c>
      <c r="B62" s="4" t="s">
        <v>15</v>
      </c>
      <c r="C62" s="4" t="s">
        <v>25</v>
      </c>
      <c r="D62" t="s">
        <v>57</v>
      </c>
      <c r="E62" s="4" t="s">
        <v>18</v>
      </c>
      <c r="F62" s="4" t="s">
        <v>17</v>
      </c>
      <c r="G62" s="4" t="s">
        <v>23</v>
      </c>
      <c r="H62" s="4" t="s">
        <v>52</v>
      </c>
      <c r="I62" s="4" t="s">
        <v>245</v>
      </c>
      <c r="J62" s="5">
        <v>20</v>
      </c>
      <c r="K62" s="5">
        <v>2512061</v>
      </c>
      <c r="L62" s="7">
        <v>10000</v>
      </c>
      <c r="N62" s="7">
        <v>5000</v>
      </c>
      <c r="O62" s="5">
        <f t="shared" si="0"/>
        <v>5000</v>
      </c>
      <c r="T62">
        <f t="shared" si="1"/>
        <v>0</v>
      </c>
      <c r="U62" t="s">
        <v>134</v>
      </c>
      <c r="V62" s="11">
        <v>10000</v>
      </c>
      <c r="W62" s="5">
        <v>10000</v>
      </c>
      <c r="X62" s="5">
        <f t="shared" si="2"/>
        <v>0</v>
      </c>
    </row>
    <row r="63" spans="1:24" x14ac:dyDescent="0.25">
      <c r="A63" s="2" t="s">
        <v>246</v>
      </c>
      <c r="B63" s="3" t="s">
        <v>15</v>
      </c>
      <c r="C63" s="4" t="s">
        <v>16</v>
      </c>
      <c r="D63" t="s">
        <v>67</v>
      </c>
      <c r="E63" s="4" t="s">
        <v>18</v>
      </c>
      <c r="F63" s="4" t="s">
        <v>17</v>
      </c>
      <c r="G63" s="4" t="s">
        <v>23</v>
      </c>
      <c r="H63" s="4" t="s">
        <v>40</v>
      </c>
      <c r="I63" s="4" t="s">
        <v>247</v>
      </c>
      <c r="J63" s="5">
        <v>40</v>
      </c>
      <c r="K63" s="5">
        <v>2512062</v>
      </c>
      <c r="L63" s="7">
        <v>12500</v>
      </c>
      <c r="N63" s="7">
        <v>6500</v>
      </c>
      <c r="O63" s="5">
        <f t="shared" si="0"/>
        <v>6000</v>
      </c>
      <c r="T63">
        <f t="shared" si="1"/>
        <v>2500</v>
      </c>
      <c r="U63" t="s">
        <v>58</v>
      </c>
      <c r="V63" s="11">
        <v>10000</v>
      </c>
      <c r="W63" s="5">
        <v>10000</v>
      </c>
      <c r="X63" s="5">
        <f t="shared" si="2"/>
        <v>0</v>
      </c>
    </row>
    <row r="64" spans="1:24" x14ac:dyDescent="0.25">
      <c r="A64" s="2" t="s">
        <v>246</v>
      </c>
      <c r="B64" s="3" t="s">
        <v>15</v>
      </c>
      <c r="C64" s="4" t="s">
        <v>16</v>
      </c>
      <c r="D64" t="s">
        <v>67</v>
      </c>
      <c r="E64" s="4" t="s">
        <v>18</v>
      </c>
      <c r="F64" s="4" t="s">
        <v>17</v>
      </c>
      <c r="G64" s="4" t="s">
        <v>23</v>
      </c>
      <c r="H64" s="4" t="s">
        <v>24</v>
      </c>
      <c r="I64" s="4" t="s">
        <v>248</v>
      </c>
      <c r="J64" s="5">
        <v>40</v>
      </c>
      <c r="K64" s="5">
        <v>2512063</v>
      </c>
      <c r="L64" s="7">
        <v>12500</v>
      </c>
      <c r="N64" s="7">
        <v>6500</v>
      </c>
      <c r="O64" s="5">
        <f t="shared" si="0"/>
        <v>6000</v>
      </c>
      <c r="T64">
        <f t="shared" si="1"/>
        <v>2500</v>
      </c>
      <c r="U64" t="s">
        <v>59</v>
      </c>
      <c r="V64" s="11">
        <v>10000</v>
      </c>
      <c r="W64" s="5">
        <v>10000</v>
      </c>
      <c r="X64" s="5">
        <f t="shared" si="2"/>
        <v>0</v>
      </c>
    </row>
    <row r="65" spans="1:24" s="14" customFormat="1" x14ac:dyDescent="0.25">
      <c r="A65" s="2" t="s">
        <v>246</v>
      </c>
      <c r="B65" s="4" t="s">
        <v>35</v>
      </c>
      <c r="C65" s="4" t="s">
        <v>36</v>
      </c>
      <c r="D65" s="4" t="s">
        <v>143</v>
      </c>
      <c r="E65" s="4" t="s">
        <v>56</v>
      </c>
      <c r="F65" s="4" t="s">
        <v>17</v>
      </c>
      <c r="G65" s="4" t="s">
        <v>34</v>
      </c>
      <c r="H65" s="4" t="s">
        <v>20</v>
      </c>
      <c r="I65" s="4" t="s">
        <v>249</v>
      </c>
      <c r="J65" s="5">
        <v>40</v>
      </c>
      <c r="K65" s="5">
        <v>2512064</v>
      </c>
      <c r="L65" s="7">
        <v>17000</v>
      </c>
      <c r="M65">
        <v>2500</v>
      </c>
      <c r="N65" s="7"/>
      <c r="O65" s="5">
        <f t="shared" si="0"/>
        <v>19500</v>
      </c>
      <c r="T65">
        <f t="shared" si="1"/>
        <v>7000</v>
      </c>
      <c r="U65" t="s">
        <v>54</v>
      </c>
      <c r="V65" s="11">
        <v>12500</v>
      </c>
      <c r="W65" s="5">
        <v>12500</v>
      </c>
      <c r="X65" s="5">
        <f t="shared" si="2"/>
        <v>0</v>
      </c>
    </row>
    <row r="66" spans="1:24" x14ac:dyDescent="0.25">
      <c r="A66" s="2" t="s">
        <v>246</v>
      </c>
      <c r="B66" s="4" t="s">
        <v>148</v>
      </c>
      <c r="C66" s="4" t="s">
        <v>149</v>
      </c>
      <c r="D66" s="4" t="s">
        <v>57</v>
      </c>
      <c r="E66" s="4" t="s">
        <v>18</v>
      </c>
      <c r="F66" s="4" t="s">
        <v>17</v>
      </c>
      <c r="G66" s="4" t="s">
        <v>23</v>
      </c>
      <c r="H66" s="4" t="s">
        <v>127</v>
      </c>
      <c r="I66" s="4" t="s">
        <v>250</v>
      </c>
      <c r="J66" s="5">
        <v>20</v>
      </c>
      <c r="K66" s="5">
        <v>2512065</v>
      </c>
      <c r="L66" s="7">
        <v>11000</v>
      </c>
      <c r="N66" s="7"/>
      <c r="O66" s="5">
        <f t="shared" si="0"/>
        <v>11000</v>
      </c>
      <c r="T66">
        <f t="shared" si="1"/>
        <v>1000</v>
      </c>
      <c r="U66" t="s">
        <v>61</v>
      </c>
      <c r="V66" s="11">
        <v>10000</v>
      </c>
      <c r="W66" s="5">
        <v>10000</v>
      </c>
      <c r="X66" s="5">
        <f t="shared" si="2"/>
        <v>0</v>
      </c>
    </row>
    <row r="67" spans="1:24" x14ac:dyDescent="0.25">
      <c r="A67" s="2" t="s">
        <v>246</v>
      </c>
      <c r="B67" s="4" t="s">
        <v>15</v>
      </c>
      <c r="C67" s="4" t="s">
        <v>21</v>
      </c>
      <c r="D67" t="s">
        <v>57</v>
      </c>
      <c r="E67" s="4" t="s">
        <v>18</v>
      </c>
      <c r="F67" s="4" t="s">
        <v>17</v>
      </c>
      <c r="G67" s="4" t="s">
        <v>23</v>
      </c>
      <c r="H67" s="4" t="s">
        <v>51</v>
      </c>
      <c r="I67" s="4" t="s">
        <v>251</v>
      </c>
      <c r="J67" s="5">
        <v>20</v>
      </c>
      <c r="K67" s="5">
        <v>2512066</v>
      </c>
      <c r="L67" s="7">
        <v>10000</v>
      </c>
      <c r="N67" s="7">
        <v>5000</v>
      </c>
      <c r="O67" s="5">
        <f t="shared" si="0"/>
        <v>5000</v>
      </c>
      <c r="T67">
        <f t="shared" si="1"/>
        <v>0</v>
      </c>
      <c r="U67" t="s">
        <v>134</v>
      </c>
      <c r="V67" s="11">
        <v>10000</v>
      </c>
      <c r="W67" s="5">
        <v>10000</v>
      </c>
      <c r="X67" s="5">
        <f t="shared" si="2"/>
        <v>0</v>
      </c>
    </row>
    <row r="68" spans="1:24" x14ac:dyDescent="0.25">
      <c r="A68" s="2" t="s">
        <v>246</v>
      </c>
      <c r="B68" s="4" t="s">
        <v>15</v>
      </c>
      <c r="C68" s="4" t="s">
        <v>21</v>
      </c>
      <c r="D68" t="s">
        <v>57</v>
      </c>
      <c r="E68" s="4" t="s">
        <v>18</v>
      </c>
      <c r="F68" s="4" t="s">
        <v>17</v>
      </c>
      <c r="G68" s="4" t="s">
        <v>23</v>
      </c>
      <c r="H68" s="4" t="s">
        <v>52</v>
      </c>
      <c r="I68" s="4" t="s">
        <v>252</v>
      </c>
      <c r="J68" s="5">
        <v>20</v>
      </c>
      <c r="K68" s="5">
        <v>2512067</v>
      </c>
      <c r="L68" s="7">
        <v>10000</v>
      </c>
      <c r="N68" s="7">
        <v>5000</v>
      </c>
      <c r="O68" s="5">
        <f t="shared" ref="O68:O120" si="3">(L68+M68)-N68</f>
        <v>5000</v>
      </c>
      <c r="T68">
        <f t="shared" ref="T68:T120" si="4">(L68+M68)-V68</f>
        <v>0</v>
      </c>
      <c r="U68" t="s">
        <v>134</v>
      </c>
      <c r="V68" s="11">
        <v>10000</v>
      </c>
      <c r="W68" s="5">
        <v>10000</v>
      </c>
      <c r="X68" s="5">
        <f t="shared" si="2"/>
        <v>0</v>
      </c>
    </row>
    <row r="69" spans="1:24" x14ac:dyDescent="0.25">
      <c r="A69" s="2" t="s">
        <v>246</v>
      </c>
      <c r="B69" s="4" t="s">
        <v>15</v>
      </c>
      <c r="C69" s="4" t="s">
        <v>16</v>
      </c>
      <c r="D69" s="4" t="s">
        <v>66</v>
      </c>
      <c r="E69" s="4" t="s">
        <v>18</v>
      </c>
      <c r="F69" s="4" t="s">
        <v>17</v>
      </c>
      <c r="G69" s="4" t="s">
        <v>32</v>
      </c>
      <c r="H69" s="4" t="s">
        <v>131</v>
      </c>
      <c r="I69" s="4" t="s">
        <v>253</v>
      </c>
      <c r="J69" s="5">
        <v>20</v>
      </c>
      <c r="K69" s="5">
        <v>2512068</v>
      </c>
      <c r="L69" s="7">
        <v>10000</v>
      </c>
      <c r="M69">
        <v>2000</v>
      </c>
      <c r="N69" s="7">
        <v>5000</v>
      </c>
      <c r="O69" s="5">
        <f t="shared" si="3"/>
        <v>7000</v>
      </c>
      <c r="T69">
        <f t="shared" si="4"/>
        <v>3000</v>
      </c>
      <c r="U69" t="s">
        <v>141</v>
      </c>
      <c r="V69" s="11">
        <v>9000</v>
      </c>
      <c r="W69" s="5">
        <v>9000</v>
      </c>
      <c r="X69" s="5">
        <f t="shared" ref="X69:X120" si="5">V69-W69</f>
        <v>0</v>
      </c>
    </row>
    <row r="70" spans="1:24" x14ac:dyDescent="0.25">
      <c r="A70" s="2" t="s">
        <v>254</v>
      </c>
      <c r="B70" s="3" t="s">
        <v>15</v>
      </c>
      <c r="C70" s="4" t="s">
        <v>16</v>
      </c>
      <c r="D70" t="s">
        <v>67</v>
      </c>
      <c r="E70" s="4" t="s">
        <v>18</v>
      </c>
      <c r="F70" s="4" t="s">
        <v>17</v>
      </c>
      <c r="G70" s="4" t="s">
        <v>23</v>
      </c>
      <c r="H70" s="4" t="s">
        <v>40</v>
      </c>
      <c r="I70" s="4" t="s">
        <v>255</v>
      </c>
      <c r="J70" s="5">
        <v>40</v>
      </c>
      <c r="K70" s="5">
        <v>2512069</v>
      </c>
      <c r="L70" s="7">
        <v>12500</v>
      </c>
      <c r="N70" s="7">
        <v>6500</v>
      </c>
      <c r="O70" s="5">
        <f t="shared" si="3"/>
        <v>6000</v>
      </c>
      <c r="T70">
        <f t="shared" si="4"/>
        <v>2500</v>
      </c>
      <c r="U70" t="s">
        <v>58</v>
      </c>
      <c r="V70" s="11">
        <v>10000</v>
      </c>
      <c r="W70" s="5">
        <v>10000</v>
      </c>
      <c r="X70" s="5">
        <f t="shared" si="5"/>
        <v>0</v>
      </c>
    </row>
    <row r="71" spans="1:24" x14ac:dyDescent="0.25">
      <c r="A71" s="2" t="s">
        <v>254</v>
      </c>
      <c r="B71" s="3" t="s">
        <v>15</v>
      </c>
      <c r="C71" s="4" t="s">
        <v>16</v>
      </c>
      <c r="D71" t="s">
        <v>67</v>
      </c>
      <c r="E71" s="4" t="s">
        <v>18</v>
      </c>
      <c r="F71" s="4" t="s">
        <v>17</v>
      </c>
      <c r="G71" s="4" t="s">
        <v>23</v>
      </c>
      <c r="H71" s="4" t="s">
        <v>24</v>
      </c>
      <c r="I71" s="4" t="s">
        <v>256</v>
      </c>
      <c r="J71" s="5">
        <v>40</v>
      </c>
      <c r="K71" s="5">
        <v>2512070</v>
      </c>
      <c r="L71" s="7">
        <v>12500</v>
      </c>
      <c r="N71" s="7">
        <v>6500</v>
      </c>
      <c r="O71" s="5">
        <f t="shared" si="3"/>
        <v>6000</v>
      </c>
      <c r="T71">
        <f t="shared" si="4"/>
        <v>2500</v>
      </c>
      <c r="U71" t="s">
        <v>59</v>
      </c>
      <c r="V71" s="11">
        <v>10000</v>
      </c>
      <c r="W71" s="5">
        <v>10000</v>
      </c>
      <c r="X71" s="5">
        <f t="shared" si="5"/>
        <v>0</v>
      </c>
    </row>
    <row r="72" spans="1:24" x14ac:dyDescent="0.25">
      <c r="A72" s="2" t="s">
        <v>257</v>
      </c>
      <c r="B72" s="3" t="s">
        <v>15</v>
      </c>
      <c r="C72" s="4" t="s">
        <v>16</v>
      </c>
      <c r="D72" t="s">
        <v>67</v>
      </c>
      <c r="E72" s="4" t="s">
        <v>18</v>
      </c>
      <c r="F72" s="4" t="s">
        <v>17</v>
      </c>
      <c r="G72" s="4" t="s">
        <v>23</v>
      </c>
      <c r="H72" s="4" t="s">
        <v>20</v>
      </c>
      <c r="I72" s="4" t="s">
        <v>263</v>
      </c>
      <c r="J72" s="5">
        <v>40</v>
      </c>
      <c r="K72" s="5">
        <v>2512071</v>
      </c>
      <c r="L72" s="7">
        <v>12500</v>
      </c>
      <c r="M72">
        <v>6000</v>
      </c>
      <c r="N72" s="7">
        <v>6500</v>
      </c>
      <c r="O72" s="5">
        <f t="shared" si="3"/>
        <v>12000</v>
      </c>
      <c r="T72">
        <f t="shared" si="4"/>
        <v>6000</v>
      </c>
      <c r="U72" t="s">
        <v>54</v>
      </c>
      <c r="V72" s="11">
        <v>12500</v>
      </c>
      <c r="W72" s="5">
        <v>12500</v>
      </c>
      <c r="X72" s="5">
        <f t="shared" si="5"/>
        <v>0</v>
      </c>
    </row>
    <row r="73" spans="1:24" x14ac:dyDescent="0.25">
      <c r="A73" s="2" t="s">
        <v>257</v>
      </c>
      <c r="B73" s="4" t="s">
        <v>19</v>
      </c>
      <c r="C73" s="4" t="s">
        <v>16</v>
      </c>
      <c r="D73" t="s">
        <v>67</v>
      </c>
      <c r="E73" s="4" t="s">
        <v>18</v>
      </c>
      <c r="F73" s="4" t="s">
        <v>17</v>
      </c>
      <c r="G73" s="4" t="s">
        <v>23</v>
      </c>
      <c r="H73" s="4" t="s">
        <v>64</v>
      </c>
      <c r="I73" s="4" t="s">
        <v>264</v>
      </c>
      <c r="J73" s="5">
        <v>40</v>
      </c>
      <c r="K73" s="5">
        <v>2512072</v>
      </c>
      <c r="L73" s="7">
        <v>13500</v>
      </c>
      <c r="M73">
        <v>7500</v>
      </c>
      <c r="N73" s="7">
        <v>6500</v>
      </c>
      <c r="O73" s="5">
        <f t="shared" si="3"/>
        <v>14500</v>
      </c>
      <c r="T73">
        <f t="shared" si="4"/>
        <v>2500</v>
      </c>
      <c r="U73" t="s">
        <v>140</v>
      </c>
      <c r="V73" s="11">
        <v>18500</v>
      </c>
      <c r="W73" s="5">
        <v>18500</v>
      </c>
      <c r="X73" s="5">
        <f t="shared" si="5"/>
        <v>0</v>
      </c>
    </row>
    <row r="74" spans="1:24" x14ac:dyDescent="0.25">
      <c r="A74" s="2" t="s">
        <v>257</v>
      </c>
      <c r="B74" s="3" t="s">
        <v>15</v>
      </c>
      <c r="C74" s="4" t="s">
        <v>16</v>
      </c>
      <c r="D74" t="s">
        <v>67</v>
      </c>
      <c r="E74" s="4" t="s">
        <v>18</v>
      </c>
      <c r="F74" s="4" t="s">
        <v>17</v>
      </c>
      <c r="G74" s="4" t="s">
        <v>23</v>
      </c>
      <c r="H74" s="4" t="s">
        <v>24</v>
      </c>
      <c r="I74" s="4" t="s">
        <v>265</v>
      </c>
      <c r="J74" s="5">
        <v>40</v>
      </c>
      <c r="K74" s="5">
        <v>2512073</v>
      </c>
      <c r="L74" s="7">
        <v>12500</v>
      </c>
      <c r="N74" s="7">
        <v>6500</v>
      </c>
      <c r="O74" s="5">
        <f t="shared" si="3"/>
        <v>6000</v>
      </c>
      <c r="T74">
        <f t="shared" si="4"/>
        <v>2500</v>
      </c>
      <c r="U74" t="s">
        <v>59</v>
      </c>
      <c r="V74" s="11">
        <v>10000</v>
      </c>
      <c r="W74" s="5">
        <v>10000</v>
      </c>
      <c r="X74" s="5">
        <f t="shared" si="5"/>
        <v>0</v>
      </c>
    </row>
    <row r="75" spans="1:24" x14ac:dyDescent="0.25">
      <c r="A75" s="2" t="s">
        <v>257</v>
      </c>
      <c r="B75" s="3" t="s">
        <v>15</v>
      </c>
      <c r="C75" s="4" t="s">
        <v>16</v>
      </c>
      <c r="D75" t="s">
        <v>67</v>
      </c>
      <c r="E75" s="4" t="s">
        <v>18</v>
      </c>
      <c r="F75" s="4" t="s">
        <v>17</v>
      </c>
      <c r="G75" s="4" t="s">
        <v>23</v>
      </c>
      <c r="H75" s="4" t="s">
        <v>40</v>
      </c>
      <c r="I75" s="4" t="s">
        <v>266</v>
      </c>
      <c r="J75" s="5">
        <v>40</v>
      </c>
      <c r="K75" s="5">
        <v>2512074</v>
      </c>
      <c r="L75" s="7">
        <v>12500</v>
      </c>
      <c r="N75" s="7">
        <v>6500</v>
      </c>
      <c r="O75" s="5">
        <f t="shared" si="3"/>
        <v>6000</v>
      </c>
      <c r="T75">
        <f t="shared" si="4"/>
        <v>2500</v>
      </c>
      <c r="U75" t="s">
        <v>58</v>
      </c>
      <c r="V75" s="11">
        <v>10000</v>
      </c>
      <c r="W75" s="5">
        <v>10000</v>
      </c>
      <c r="X75" s="5">
        <f t="shared" si="5"/>
        <v>0</v>
      </c>
    </row>
    <row r="76" spans="1:24" x14ac:dyDescent="0.25">
      <c r="A76" s="2" t="s">
        <v>257</v>
      </c>
      <c r="B76" s="3" t="s">
        <v>15</v>
      </c>
      <c r="C76" s="4" t="s">
        <v>258</v>
      </c>
      <c r="D76" t="s">
        <v>99</v>
      </c>
      <c r="E76" s="4" t="s">
        <v>259</v>
      </c>
      <c r="F76" s="4" t="s">
        <v>22</v>
      </c>
      <c r="G76" s="4" t="s">
        <v>117</v>
      </c>
      <c r="H76" s="4" t="s">
        <v>131</v>
      </c>
      <c r="I76" s="4" t="s">
        <v>267</v>
      </c>
      <c r="J76" s="5">
        <v>20</v>
      </c>
      <c r="K76" s="5">
        <v>2512075</v>
      </c>
      <c r="L76" s="7">
        <v>11500</v>
      </c>
      <c r="N76" s="7">
        <v>6500</v>
      </c>
      <c r="O76" s="5">
        <f t="shared" si="3"/>
        <v>5000</v>
      </c>
      <c r="T76">
        <f t="shared" si="4"/>
        <v>2500</v>
      </c>
      <c r="U76" t="s">
        <v>141</v>
      </c>
      <c r="V76" s="11">
        <v>9000</v>
      </c>
      <c r="W76" s="5">
        <v>9000</v>
      </c>
      <c r="X76" s="5">
        <f t="shared" si="5"/>
        <v>0</v>
      </c>
    </row>
    <row r="77" spans="1:24" x14ac:dyDescent="0.25">
      <c r="A77" s="2" t="s">
        <v>260</v>
      </c>
      <c r="B77" s="3" t="s">
        <v>15</v>
      </c>
      <c r="C77" s="4" t="s">
        <v>258</v>
      </c>
      <c r="D77" t="s">
        <v>99</v>
      </c>
      <c r="E77" s="4" t="s">
        <v>259</v>
      </c>
      <c r="F77" s="4" t="s">
        <v>22</v>
      </c>
      <c r="G77" s="4" t="s">
        <v>117</v>
      </c>
      <c r="H77" s="4" t="s">
        <v>131</v>
      </c>
      <c r="I77" s="4" t="s">
        <v>268</v>
      </c>
      <c r="J77" s="5">
        <v>20</v>
      </c>
      <c r="K77" s="5">
        <v>2512076</v>
      </c>
      <c r="L77" s="7">
        <v>11500</v>
      </c>
      <c r="N77" s="7">
        <v>6500</v>
      </c>
      <c r="O77" s="5">
        <f t="shared" si="3"/>
        <v>5000</v>
      </c>
      <c r="T77">
        <f t="shared" si="4"/>
        <v>2500</v>
      </c>
      <c r="U77" t="s">
        <v>141</v>
      </c>
      <c r="V77" s="11">
        <v>9000</v>
      </c>
      <c r="W77" s="5">
        <v>9000</v>
      </c>
      <c r="X77" s="5">
        <f t="shared" si="5"/>
        <v>0</v>
      </c>
    </row>
    <row r="78" spans="1:24" x14ac:dyDescent="0.25">
      <c r="A78" s="2" t="s">
        <v>260</v>
      </c>
      <c r="B78" s="4" t="s">
        <v>236</v>
      </c>
      <c r="C78" s="4" t="s">
        <v>261</v>
      </c>
      <c r="D78" s="4" t="s">
        <v>23</v>
      </c>
      <c r="E78" s="4" t="s">
        <v>262</v>
      </c>
      <c r="F78" s="4" t="s">
        <v>111</v>
      </c>
      <c r="G78" s="4" t="s">
        <v>262</v>
      </c>
      <c r="H78" s="4" t="s">
        <v>24</v>
      </c>
      <c r="I78" s="4" t="s">
        <v>269</v>
      </c>
      <c r="J78" s="5">
        <v>40</v>
      </c>
      <c r="K78" s="5">
        <v>2512077</v>
      </c>
      <c r="L78" s="7">
        <v>4000</v>
      </c>
      <c r="N78" s="7">
        <v>4000</v>
      </c>
      <c r="O78" s="5">
        <f t="shared" si="3"/>
        <v>0</v>
      </c>
      <c r="T78">
        <f t="shared" si="4"/>
        <v>2000</v>
      </c>
      <c r="U78" t="s">
        <v>59</v>
      </c>
      <c r="V78" s="11">
        <v>2000</v>
      </c>
      <c r="W78" s="5">
        <v>2000</v>
      </c>
      <c r="X78" s="5">
        <f t="shared" si="5"/>
        <v>0</v>
      </c>
    </row>
    <row r="79" spans="1:24" x14ac:dyDescent="0.25">
      <c r="A79" s="2" t="s">
        <v>260</v>
      </c>
      <c r="B79" s="4" t="s">
        <v>236</v>
      </c>
      <c r="C79" s="4" t="s">
        <v>261</v>
      </c>
      <c r="D79" s="4" t="s">
        <v>23</v>
      </c>
      <c r="E79" s="4" t="s">
        <v>145</v>
      </c>
      <c r="F79" s="4" t="s">
        <v>111</v>
      </c>
      <c r="G79" s="4" t="s">
        <v>145</v>
      </c>
      <c r="H79" s="4" t="s">
        <v>40</v>
      </c>
      <c r="I79" s="4" t="s">
        <v>270</v>
      </c>
      <c r="J79" s="5">
        <v>40</v>
      </c>
      <c r="K79" s="5">
        <v>2512078</v>
      </c>
      <c r="L79" s="7">
        <v>4000</v>
      </c>
      <c r="N79" s="7">
        <v>4000</v>
      </c>
      <c r="O79" s="5">
        <f t="shared" si="3"/>
        <v>0</v>
      </c>
      <c r="T79">
        <f t="shared" si="4"/>
        <v>2000</v>
      </c>
      <c r="U79" t="s">
        <v>58</v>
      </c>
      <c r="V79" s="11">
        <v>2000</v>
      </c>
      <c r="W79" s="5">
        <v>2000</v>
      </c>
      <c r="X79" s="5">
        <f t="shared" si="5"/>
        <v>0</v>
      </c>
    </row>
    <row r="80" spans="1:24" x14ac:dyDescent="0.25">
      <c r="A80" s="2" t="s">
        <v>271</v>
      </c>
      <c r="B80" s="3" t="s">
        <v>15</v>
      </c>
      <c r="C80" s="4" t="s">
        <v>177</v>
      </c>
      <c r="D80" t="s">
        <v>27</v>
      </c>
      <c r="E80" s="4" t="s">
        <v>18</v>
      </c>
      <c r="F80" s="4" t="s">
        <v>17</v>
      </c>
      <c r="G80" s="4" t="s">
        <v>34</v>
      </c>
      <c r="H80" s="4" t="s">
        <v>131</v>
      </c>
      <c r="I80" s="4" t="s">
        <v>272</v>
      </c>
      <c r="J80" s="5">
        <v>20</v>
      </c>
      <c r="K80" s="5">
        <v>2512079</v>
      </c>
      <c r="L80" s="7">
        <v>10000</v>
      </c>
      <c r="N80" s="7">
        <v>5000</v>
      </c>
      <c r="O80" s="5">
        <f t="shared" si="3"/>
        <v>5000</v>
      </c>
      <c r="T80">
        <f t="shared" si="4"/>
        <v>2000</v>
      </c>
      <c r="U80" t="s">
        <v>141</v>
      </c>
      <c r="V80" s="11">
        <v>8000</v>
      </c>
      <c r="W80" s="5">
        <v>8000</v>
      </c>
      <c r="X80" s="5">
        <f t="shared" si="5"/>
        <v>0</v>
      </c>
    </row>
    <row r="81" spans="1:24" x14ac:dyDescent="0.25">
      <c r="A81" s="2" t="s">
        <v>274</v>
      </c>
      <c r="B81" s="3" t="s">
        <v>15</v>
      </c>
      <c r="C81" s="4" t="s">
        <v>16</v>
      </c>
      <c r="D81" t="s">
        <v>66</v>
      </c>
      <c r="E81" s="4" t="s">
        <v>18</v>
      </c>
      <c r="F81" s="4" t="s">
        <v>17</v>
      </c>
      <c r="G81" s="4" t="s">
        <v>32</v>
      </c>
      <c r="H81" s="4" t="s">
        <v>40</v>
      </c>
      <c r="I81" s="4" t="s">
        <v>280</v>
      </c>
      <c r="J81" s="5">
        <v>40</v>
      </c>
      <c r="K81" s="5">
        <v>2512080</v>
      </c>
      <c r="L81" s="7">
        <v>12500</v>
      </c>
      <c r="N81" s="7">
        <v>6500</v>
      </c>
      <c r="O81" s="5">
        <f t="shared" si="3"/>
        <v>6000</v>
      </c>
      <c r="T81">
        <f t="shared" si="4"/>
        <v>2500</v>
      </c>
      <c r="U81" t="s">
        <v>58</v>
      </c>
      <c r="V81" s="11">
        <v>10000</v>
      </c>
      <c r="W81" s="5">
        <v>10000</v>
      </c>
      <c r="X81" s="5">
        <f t="shared" si="5"/>
        <v>0</v>
      </c>
    </row>
    <row r="82" spans="1:24" x14ac:dyDescent="0.25">
      <c r="A82" s="2" t="s">
        <v>274</v>
      </c>
      <c r="B82" s="3" t="s">
        <v>15</v>
      </c>
      <c r="C82" s="4" t="s">
        <v>16</v>
      </c>
      <c r="D82" t="s">
        <v>67</v>
      </c>
      <c r="E82" s="4" t="s">
        <v>18</v>
      </c>
      <c r="F82" s="4" t="s">
        <v>17</v>
      </c>
      <c r="G82" s="4" t="s">
        <v>23</v>
      </c>
      <c r="H82" s="4" t="s">
        <v>24</v>
      </c>
      <c r="I82" s="4" t="s">
        <v>281</v>
      </c>
      <c r="J82" s="5">
        <v>40</v>
      </c>
      <c r="K82" s="5">
        <v>2512081</v>
      </c>
      <c r="L82" s="7">
        <v>12500</v>
      </c>
      <c r="N82" s="7">
        <v>6500</v>
      </c>
      <c r="O82" s="5">
        <f t="shared" si="3"/>
        <v>6000</v>
      </c>
      <c r="T82">
        <f t="shared" si="4"/>
        <v>2500</v>
      </c>
      <c r="U82" t="s">
        <v>59</v>
      </c>
      <c r="V82" s="11">
        <v>10000</v>
      </c>
      <c r="W82" s="5">
        <v>10000</v>
      </c>
      <c r="X82" s="5">
        <f t="shared" si="5"/>
        <v>0</v>
      </c>
    </row>
    <row r="83" spans="1:24" x14ac:dyDescent="0.25">
      <c r="A83" s="2" t="s">
        <v>274</v>
      </c>
      <c r="B83" s="3" t="s">
        <v>19</v>
      </c>
      <c r="C83" s="4" t="s">
        <v>16</v>
      </c>
      <c r="D83" t="s">
        <v>67</v>
      </c>
      <c r="E83" s="4" t="s">
        <v>18</v>
      </c>
      <c r="F83" s="4" t="s">
        <v>17</v>
      </c>
      <c r="G83" s="4" t="s">
        <v>23</v>
      </c>
      <c r="H83" s="4" t="s">
        <v>278</v>
      </c>
      <c r="I83" s="4" t="s">
        <v>282</v>
      </c>
      <c r="J83" s="5">
        <v>40</v>
      </c>
      <c r="K83" s="5">
        <v>2512082</v>
      </c>
      <c r="L83" s="7">
        <v>13500</v>
      </c>
      <c r="N83" s="7">
        <v>6500</v>
      </c>
      <c r="O83" s="5">
        <f t="shared" si="3"/>
        <v>7000</v>
      </c>
      <c r="T83">
        <f t="shared" si="4"/>
        <v>500</v>
      </c>
      <c r="U83" t="s">
        <v>320</v>
      </c>
      <c r="V83" s="11">
        <v>13000</v>
      </c>
      <c r="W83" s="5">
        <v>13000</v>
      </c>
      <c r="X83" s="5">
        <f t="shared" si="5"/>
        <v>0</v>
      </c>
    </row>
    <row r="84" spans="1:24" x14ac:dyDescent="0.25">
      <c r="A84" s="2" t="s">
        <v>274</v>
      </c>
      <c r="B84" s="3" t="s">
        <v>19</v>
      </c>
      <c r="C84" s="4" t="s">
        <v>16</v>
      </c>
      <c r="D84" t="s">
        <v>67</v>
      </c>
      <c r="E84" s="4" t="s">
        <v>18</v>
      </c>
      <c r="F84" s="4" t="s">
        <v>17</v>
      </c>
      <c r="G84" s="4" t="s">
        <v>23</v>
      </c>
      <c r="H84" s="4" t="s">
        <v>227</v>
      </c>
      <c r="I84" s="4" t="s">
        <v>283</v>
      </c>
      <c r="J84" s="5">
        <v>40</v>
      </c>
      <c r="K84" s="5">
        <v>2512083</v>
      </c>
      <c r="L84" s="7">
        <v>13500</v>
      </c>
      <c r="N84" s="7">
        <v>6500</v>
      </c>
      <c r="O84" s="5">
        <f t="shared" si="3"/>
        <v>7000</v>
      </c>
      <c r="T84">
        <f t="shared" si="4"/>
        <v>500</v>
      </c>
      <c r="U84" t="s">
        <v>320</v>
      </c>
      <c r="V84" s="11">
        <v>13000</v>
      </c>
      <c r="W84" s="5">
        <v>13000</v>
      </c>
      <c r="X84" s="5">
        <f t="shared" si="5"/>
        <v>0</v>
      </c>
    </row>
    <row r="85" spans="1:24" x14ac:dyDescent="0.25">
      <c r="A85" s="2" t="s">
        <v>274</v>
      </c>
      <c r="B85" s="3" t="s">
        <v>19</v>
      </c>
      <c r="C85" s="4" t="s">
        <v>16</v>
      </c>
      <c r="D85" t="s">
        <v>67</v>
      </c>
      <c r="E85" s="4" t="s">
        <v>18</v>
      </c>
      <c r="F85" s="4" t="s">
        <v>17</v>
      </c>
      <c r="G85" s="4" t="s">
        <v>23</v>
      </c>
      <c r="H85" s="4" t="s">
        <v>279</v>
      </c>
      <c r="I85" s="4" t="s">
        <v>284</v>
      </c>
      <c r="J85" s="5">
        <v>40</v>
      </c>
      <c r="K85" s="5">
        <v>2512084</v>
      </c>
      <c r="L85" s="7">
        <v>13500</v>
      </c>
      <c r="M85">
        <v>2000</v>
      </c>
      <c r="N85" s="7">
        <v>6500</v>
      </c>
      <c r="O85" s="5">
        <f t="shared" si="3"/>
        <v>9000</v>
      </c>
      <c r="T85">
        <f t="shared" si="4"/>
        <v>2500</v>
      </c>
      <c r="U85" t="s">
        <v>320</v>
      </c>
      <c r="V85" s="11">
        <v>13000</v>
      </c>
      <c r="W85" s="5">
        <v>13000</v>
      </c>
      <c r="X85" s="5">
        <f t="shared" si="5"/>
        <v>0</v>
      </c>
    </row>
    <row r="86" spans="1:24" x14ac:dyDescent="0.25">
      <c r="A86" s="2" t="s">
        <v>274</v>
      </c>
      <c r="B86" s="3" t="s">
        <v>15</v>
      </c>
      <c r="C86" s="4" t="s">
        <v>122</v>
      </c>
      <c r="D86" s="4" t="s">
        <v>23</v>
      </c>
      <c r="E86" s="4" t="s">
        <v>18</v>
      </c>
      <c r="F86" s="4" t="s">
        <v>22</v>
      </c>
      <c r="G86" s="4" t="s">
        <v>275</v>
      </c>
      <c r="H86" s="4" t="s">
        <v>51</v>
      </c>
      <c r="I86" s="4" t="s">
        <v>285</v>
      </c>
      <c r="J86" s="5">
        <v>20</v>
      </c>
      <c r="K86" s="5">
        <v>2512085</v>
      </c>
      <c r="L86" s="7">
        <v>10000</v>
      </c>
      <c r="N86" s="7">
        <v>5000</v>
      </c>
      <c r="O86" s="5">
        <f t="shared" si="3"/>
        <v>5000</v>
      </c>
      <c r="T86">
        <f t="shared" si="4"/>
        <v>0</v>
      </c>
      <c r="U86" t="s">
        <v>134</v>
      </c>
      <c r="V86" s="11">
        <v>10000</v>
      </c>
      <c r="W86" s="5">
        <v>10000</v>
      </c>
      <c r="X86" s="5">
        <f t="shared" si="5"/>
        <v>0</v>
      </c>
    </row>
    <row r="87" spans="1:24" x14ac:dyDescent="0.25">
      <c r="A87" s="2" t="s">
        <v>274</v>
      </c>
      <c r="B87" s="3" t="s">
        <v>15</v>
      </c>
      <c r="C87" s="4" t="s">
        <v>25</v>
      </c>
      <c r="D87" s="4" t="s">
        <v>150</v>
      </c>
      <c r="E87" s="4" t="s">
        <v>18</v>
      </c>
      <c r="F87" s="4" t="s">
        <v>17</v>
      </c>
      <c r="G87" s="4" t="s">
        <v>23</v>
      </c>
      <c r="H87" s="4" t="s">
        <v>127</v>
      </c>
      <c r="I87" s="4" t="s">
        <v>286</v>
      </c>
      <c r="J87" s="5">
        <v>20</v>
      </c>
      <c r="K87" s="5">
        <v>2512086</v>
      </c>
      <c r="L87" s="7">
        <v>10000</v>
      </c>
      <c r="M87">
        <v>2000</v>
      </c>
      <c r="N87" s="7">
        <v>5000</v>
      </c>
      <c r="O87" s="5">
        <f t="shared" si="3"/>
        <v>7000</v>
      </c>
      <c r="T87">
        <f t="shared" si="4"/>
        <v>500</v>
      </c>
      <c r="U87" t="s">
        <v>61</v>
      </c>
      <c r="V87" s="11">
        <v>11500</v>
      </c>
      <c r="W87" s="5">
        <v>11500</v>
      </c>
      <c r="X87" s="5">
        <f t="shared" si="5"/>
        <v>0</v>
      </c>
    </row>
    <row r="88" spans="1:24" x14ac:dyDescent="0.25">
      <c r="A88" s="2" t="s">
        <v>274</v>
      </c>
      <c r="B88" s="3" t="s">
        <v>15</v>
      </c>
      <c r="C88" s="4" t="s">
        <v>21</v>
      </c>
      <c r="D88" t="s">
        <v>276</v>
      </c>
      <c r="E88" s="4" t="s">
        <v>18</v>
      </c>
      <c r="F88" s="4" t="s">
        <v>17</v>
      </c>
      <c r="G88" s="4" t="s">
        <v>23</v>
      </c>
      <c r="H88" s="4" t="s">
        <v>292</v>
      </c>
      <c r="I88" s="4" t="s">
        <v>287</v>
      </c>
      <c r="J88" s="5">
        <v>20</v>
      </c>
      <c r="K88" s="5">
        <v>2512087</v>
      </c>
      <c r="L88" s="7">
        <v>10000</v>
      </c>
      <c r="N88" s="7">
        <v>5000</v>
      </c>
      <c r="O88" s="5">
        <f t="shared" si="3"/>
        <v>5000</v>
      </c>
      <c r="T88">
        <f t="shared" si="4"/>
        <v>0</v>
      </c>
      <c r="U88" t="s">
        <v>61</v>
      </c>
      <c r="V88" s="11">
        <v>10000</v>
      </c>
      <c r="W88" s="5">
        <v>10000</v>
      </c>
      <c r="X88" s="5">
        <f t="shared" si="5"/>
        <v>0</v>
      </c>
    </row>
    <row r="89" spans="1:24" x14ac:dyDescent="0.25">
      <c r="A89" s="2" t="s">
        <v>274</v>
      </c>
      <c r="B89" s="3" t="s">
        <v>277</v>
      </c>
      <c r="C89" s="4" t="s">
        <v>277</v>
      </c>
      <c r="D89" s="4" t="s">
        <v>150</v>
      </c>
      <c r="E89" s="4" t="s">
        <v>99</v>
      </c>
      <c r="F89" s="4" t="s">
        <v>17</v>
      </c>
      <c r="G89" s="4" t="s">
        <v>197</v>
      </c>
      <c r="H89" s="4" t="s">
        <v>131</v>
      </c>
      <c r="I89" s="4" t="s">
        <v>288</v>
      </c>
      <c r="J89" s="5">
        <v>20</v>
      </c>
      <c r="K89" s="5">
        <v>2512088</v>
      </c>
      <c r="L89" s="7">
        <v>12000</v>
      </c>
      <c r="N89" s="7">
        <v>12000</v>
      </c>
      <c r="O89" s="5">
        <f t="shared" si="3"/>
        <v>0</v>
      </c>
      <c r="T89">
        <f t="shared" si="4"/>
        <v>3500</v>
      </c>
      <c r="U89" t="s">
        <v>141</v>
      </c>
      <c r="V89" s="11">
        <v>8500</v>
      </c>
      <c r="W89" s="5">
        <v>8500</v>
      </c>
      <c r="X89" s="5">
        <f t="shared" si="5"/>
        <v>0</v>
      </c>
    </row>
    <row r="90" spans="1:24" x14ac:dyDescent="0.25">
      <c r="A90" s="2" t="s">
        <v>289</v>
      </c>
      <c r="B90" s="3" t="s">
        <v>15</v>
      </c>
      <c r="C90" s="4" t="s">
        <v>16</v>
      </c>
      <c r="D90" t="s">
        <v>67</v>
      </c>
      <c r="E90" s="4" t="s">
        <v>18</v>
      </c>
      <c r="F90" s="4" t="s">
        <v>17</v>
      </c>
      <c r="G90" s="4" t="s">
        <v>23</v>
      </c>
      <c r="H90" s="4" t="s">
        <v>20</v>
      </c>
      <c r="I90" s="4" t="s">
        <v>293</v>
      </c>
      <c r="J90" s="5">
        <v>40</v>
      </c>
      <c r="K90" s="5">
        <v>2512089</v>
      </c>
      <c r="L90" s="7">
        <v>12500</v>
      </c>
      <c r="N90" s="7">
        <v>6500</v>
      </c>
      <c r="O90" s="5">
        <f t="shared" si="3"/>
        <v>6000</v>
      </c>
      <c r="T90">
        <f t="shared" si="4"/>
        <v>2500</v>
      </c>
      <c r="U90" t="s">
        <v>54</v>
      </c>
      <c r="V90" s="11">
        <v>10000</v>
      </c>
      <c r="W90" s="5">
        <v>10000</v>
      </c>
      <c r="X90" s="5">
        <f t="shared" si="5"/>
        <v>0</v>
      </c>
    </row>
    <row r="91" spans="1:24" x14ac:dyDescent="0.25">
      <c r="A91" s="2" t="s">
        <v>289</v>
      </c>
      <c r="B91" s="3" t="s">
        <v>19</v>
      </c>
      <c r="C91" s="4" t="s">
        <v>16</v>
      </c>
      <c r="D91" t="s">
        <v>67</v>
      </c>
      <c r="E91" s="4" t="s">
        <v>18</v>
      </c>
      <c r="F91" s="4" t="s">
        <v>17</v>
      </c>
      <c r="G91" s="4" t="s">
        <v>23</v>
      </c>
      <c r="H91" s="4" t="s">
        <v>64</v>
      </c>
      <c r="I91" s="4" t="s">
        <v>294</v>
      </c>
      <c r="J91" s="5">
        <v>40</v>
      </c>
      <c r="K91" s="5">
        <v>2512090</v>
      </c>
      <c r="L91" s="7">
        <v>13500</v>
      </c>
      <c r="N91" s="7">
        <v>6500</v>
      </c>
      <c r="O91" s="5">
        <f t="shared" si="3"/>
        <v>7000</v>
      </c>
      <c r="T91">
        <f t="shared" si="4"/>
        <v>500</v>
      </c>
      <c r="U91" t="s">
        <v>140</v>
      </c>
      <c r="V91" s="11">
        <v>13000</v>
      </c>
      <c r="W91" s="5">
        <v>13000</v>
      </c>
      <c r="X91" s="5">
        <f t="shared" si="5"/>
        <v>0</v>
      </c>
    </row>
    <row r="92" spans="1:24" x14ac:dyDescent="0.25">
      <c r="A92" s="2" t="s">
        <v>289</v>
      </c>
      <c r="B92" s="3" t="s">
        <v>19</v>
      </c>
      <c r="C92" s="4" t="s">
        <v>16</v>
      </c>
      <c r="D92" t="s">
        <v>67</v>
      </c>
      <c r="E92" s="4" t="s">
        <v>18</v>
      </c>
      <c r="F92" s="4" t="s">
        <v>17</v>
      </c>
      <c r="G92" s="4" t="s">
        <v>23</v>
      </c>
      <c r="H92" s="4" t="s">
        <v>41</v>
      </c>
      <c r="I92" s="4" t="s">
        <v>295</v>
      </c>
      <c r="J92" s="5">
        <v>40</v>
      </c>
      <c r="K92" s="5">
        <v>2512091</v>
      </c>
      <c r="L92" s="7">
        <v>13500</v>
      </c>
      <c r="N92" s="7">
        <v>6500</v>
      </c>
      <c r="O92" s="5">
        <f t="shared" si="3"/>
        <v>7000</v>
      </c>
      <c r="T92">
        <f t="shared" si="4"/>
        <v>500</v>
      </c>
      <c r="U92" t="s">
        <v>60</v>
      </c>
      <c r="V92" s="11">
        <v>13000</v>
      </c>
      <c r="W92" s="5"/>
      <c r="X92" s="5">
        <f t="shared" si="5"/>
        <v>13000</v>
      </c>
    </row>
    <row r="93" spans="1:24" x14ac:dyDescent="0.25">
      <c r="A93" s="2" t="s">
        <v>289</v>
      </c>
      <c r="B93" s="3" t="s">
        <v>19</v>
      </c>
      <c r="C93" s="4" t="s">
        <v>16</v>
      </c>
      <c r="D93" t="s">
        <v>67</v>
      </c>
      <c r="E93" s="4" t="s">
        <v>18</v>
      </c>
      <c r="F93" s="4" t="s">
        <v>17</v>
      </c>
      <c r="G93" s="4" t="s">
        <v>23</v>
      </c>
      <c r="H93" s="4" t="s">
        <v>133</v>
      </c>
      <c r="I93" s="4" t="s">
        <v>296</v>
      </c>
      <c r="J93" s="5">
        <v>40</v>
      </c>
      <c r="K93" s="5">
        <v>2512092</v>
      </c>
      <c r="L93" s="7">
        <v>13500</v>
      </c>
      <c r="N93" s="7">
        <v>6500</v>
      </c>
      <c r="O93" s="5">
        <f t="shared" si="3"/>
        <v>7000</v>
      </c>
      <c r="T93">
        <f t="shared" si="4"/>
        <v>500</v>
      </c>
      <c r="U93" t="s">
        <v>60</v>
      </c>
      <c r="V93" s="11">
        <v>13000</v>
      </c>
      <c r="W93" s="5"/>
      <c r="X93" s="5">
        <f t="shared" si="5"/>
        <v>13000</v>
      </c>
    </row>
    <row r="94" spans="1:24" x14ac:dyDescent="0.25">
      <c r="A94" s="2" t="s">
        <v>289</v>
      </c>
      <c r="B94" s="4" t="s">
        <v>15</v>
      </c>
      <c r="C94" s="4" t="s">
        <v>25</v>
      </c>
      <c r="D94" s="4" t="s">
        <v>150</v>
      </c>
      <c r="E94" s="4" t="s">
        <v>18</v>
      </c>
      <c r="F94" s="4" t="s">
        <v>17</v>
      </c>
      <c r="G94" s="4" t="s">
        <v>23</v>
      </c>
      <c r="H94" s="4" t="s">
        <v>292</v>
      </c>
      <c r="I94" s="4" t="s">
        <v>297</v>
      </c>
      <c r="J94" s="5">
        <v>20</v>
      </c>
      <c r="K94" s="5">
        <v>2512093</v>
      </c>
      <c r="L94" s="7">
        <v>10000</v>
      </c>
      <c r="N94" s="7">
        <v>5000</v>
      </c>
      <c r="O94" s="5">
        <f t="shared" si="3"/>
        <v>5000</v>
      </c>
      <c r="T94">
        <f t="shared" si="4"/>
        <v>0</v>
      </c>
      <c r="U94" t="s">
        <v>61</v>
      </c>
      <c r="V94" s="11">
        <v>10000</v>
      </c>
      <c r="W94" s="5">
        <v>10000</v>
      </c>
      <c r="X94" s="5">
        <f t="shared" si="5"/>
        <v>0</v>
      </c>
    </row>
    <row r="95" spans="1:24" x14ac:dyDescent="0.25">
      <c r="A95" s="2" t="s">
        <v>289</v>
      </c>
      <c r="B95" s="4" t="s">
        <v>15</v>
      </c>
      <c r="C95" s="4" t="s">
        <v>21</v>
      </c>
      <c r="D95" t="s">
        <v>92</v>
      </c>
      <c r="E95" s="4" t="s">
        <v>18</v>
      </c>
      <c r="F95" s="4" t="s">
        <v>17</v>
      </c>
      <c r="G95" s="4" t="s">
        <v>23</v>
      </c>
      <c r="H95" s="4" t="s">
        <v>52</v>
      </c>
      <c r="I95" s="4" t="s">
        <v>298</v>
      </c>
      <c r="J95" s="5">
        <v>20</v>
      </c>
      <c r="K95" s="5">
        <v>2512094</v>
      </c>
      <c r="L95" s="7">
        <v>10000</v>
      </c>
      <c r="N95" s="7">
        <v>5000</v>
      </c>
      <c r="O95" s="5">
        <f t="shared" si="3"/>
        <v>5000</v>
      </c>
      <c r="T95">
        <f t="shared" si="4"/>
        <v>0</v>
      </c>
      <c r="U95" t="s">
        <v>134</v>
      </c>
      <c r="V95" s="11">
        <v>10000</v>
      </c>
      <c r="W95" s="5">
        <v>10000</v>
      </c>
      <c r="X95" s="5">
        <f t="shared" si="5"/>
        <v>0</v>
      </c>
    </row>
    <row r="96" spans="1:24" x14ac:dyDescent="0.25">
      <c r="A96" s="2" t="s">
        <v>289</v>
      </c>
      <c r="B96" s="4" t="s">
        <v>35</v>
      </c>
      <c r="C96" s="4" t="s">
        <v>36</v>
      </c>
      <c r="D96" s="4" t="s">
        <v>290</v>
      </c>
      <c r="E96" s="4" t="s">
        <v>130</v>
      </c>
      <c r="F96" s="4" t="s">
        <v>22</v>
      </c>
      <c r="G96" s="4" t="s">
        <v>291</v>
      </c>
      <c r="H96" s="4" t="s">
        <v>131</v>
      </c>
      <c r="I96" s="4" t="s">
        <v>299</v>
      </c>
      <c r="J96" s="5">
        <v>20</v>
      </c>
      <c r="K96" s="5">
        <v>2512095</v>
      </c>
      <c r="L96" s="7">
        <v>13000</v>
      </c>
      <c r="M96">
        <v>600</v>
      </c>
      <c r="N96" s="7"/>
      <c r="O96" s="5">
        <f t="shared" si="3"/>
        <v>13600</v>
      </c>
      <c r="T96">
        <f t="shared" si="4"/>
        <v>3000</v>
      </c>
      <c r="U96" t="s">
        <v>141</v>
      </c>
      <c r="V96" s="11">
        <v>10600</v>
      </c>
      <c r="W96" s="5">
        <v>10600</v>
      </c>
      <c r="X96" s="5">
        <f t="shared" si="5"/>
        <v>0</v>
      </c>
    </row>
    <row r="97" spans="1:24" x14ac:dyDescent="0.25">
      <c r="A97" s="2" t="s">
        <v>289</v>
      </c>
      <c r="B97" s="4" t="s">
        <v>15</v>
      </c>
      <c r="C97" s="4" t="s">
        <v>207</v>
      </c>
      <c r="D97" s="4" t="s">
        <v>162</v>
      </c>
      <c r="E97" s="4" t="s">
        <v>18</v>
      </c>
      <c r="F97" s="4" t="s">
        <v>22</v>
      </c>
      <c r="G97" s="4" t="s">
        <v>117</v>
      </c>
      <c r="H97" s="4" t="s">
        <v>24</v>
      </c>
      <c r="I97" s="4" t="s">
        <v>300</v>
      </c>
      <c r="J97" s="5">
        <v>40</v>
      </c>
      <c r="K97" s="5">
        <v>2512096</v>
      </c>
      <c r="L97" s="7">
        <v>16000</v>
      </c>
      <c r="M97">
        <v>2000</v>
      </c>
      <c r="N97" s="7">
        <v>8000</v>
      </c>
      <c r="O97" s="5">
        <f t="shared" si="3"/>
        <v>10000</v>
      </c>
      <c r="T97">
        <f t="shared" si="4"/>
        <v>7000</v>
      </c>
      <c r="U97" t="s">
        <v>59</v>
      </c>
      <c r="V97" s="11">
        <v>11000</v>
      </c>
      <c r="W97" s="5">
        <v>11000</v>
      </c>
      <c r="X97" s="5">
        <f t="shared" si="5"/>
        <v>0</v>
      </c>
    </row>
    <row r="98" spans="1:24" x14ac:dyDescent="0.25">
      <c r="A98" s="2" t="s">
        <v>301</v>
      </c>
      <c r="B98" s="4" t="s">
        <v>15</v>
      </c>
      <c r="C98" s="4" t="s">
        <v>122</v>
      </c>
      <c r="D98" s="4" t="s">
        <v>162</v>
      </c>
      <c r="E98" s="4" t="s">
        <v>18</v>
      </c>
      <c r="F98" s="4" t="s">
        <v>22</v>
      </c>
      <c r="G98" s="4" t="s">
        <v>303</v>
      </c>
      <c r="H98" s="4" t="s">
        <v>40</v>
      </c>
      <c r="I98" s="4" t="s">
        <v>302</v>
      </c>
      <c r="J98" s="5">
        <v>40</v>
      </c>
      <c r="K98" s="5">
        <v>2512097</v>
      </c>
      <c r="L98" s="7">
        <v>16000</v>
      </c>
      <c r="N98" s="7">
        <v>8000</v>
      </c>
      <c r="O98" s="5">
        <f t="shared" si="3"/>
        <v>8000</v>
      </c>
      <c r="T98">
        <f t="shared" si="4"/>
        <v>5000</v>
      </c>
      <c r="U98" t="s">
        <v>58</v>
      </c>
      <c r="V98" s="11">
        <v>11000</v>
      </c>
      <c r="W98" s="5">
        <v>11000</v>
      </c>
      <c r="X98" s="5">
        <f t="shared" si="5"/>
        <v>0</v>
      </c>
    </row>
    <row r="99" spans="1:24" x14ac:dyDescent="0.25">
      <c r="A99" s="2" t="s">
        <v>304</v>
      </c>
      <c r="B99" s="3" t="s">
        <v>15</v>
      </c>
      <c r="C99" s="4" t="s">
        <v>16</v>
      </c>
      <c r="D99" t="s">
        <v>67</v>
      </c>
      <c r="E99" s="4" t="s">
        <v>18</v>
      </c>
      <c r="F99" s="4" t="s">
        <v>17</v>
      </c>
      <c r="G99" s="4" t="s">
        <v>197</v>
      </c>
      <c r="H99" s="4" t="s">
        <v>20</v>
      </c>
      <c r="I99" s="4" t="s">
        <v>305</v>
      </c>
      <c r="J99" s="5">
        <v>40</v>
      </c>
      <c r="K99" s="5">
        <v>2512098</v>
      </c>
      <c r="L99" s="7">
        <v>12500</v>
      </c>
      <c r="N99" s="7">
        <v>6500</v>
      </c>
      <c r="O99" s="5">
        <f t="shared" si="3"/>
        <v>6000</v>
      </c>
      <c r="T99">
        <f t="shared" si="4"/>
        <v>2500</v>
      </c>
      <c r="U99" t="s">
        <v>54</v>
      </c>
      <c r="V99" s="11">
        <v>10000</v>
      </c>
      <c r="W99" s="5">
        <v>10000</v>
      </c>
      <c r="X99" s="5">
        <f t="shared" si="5"/>
        <v>0</v>
      </c>
    </row>
    <row r="100" spans="1:24" x14ac:dyDescent="0.25">
      <c r="A100" s="2" t="s">
        <v>304</v>
      </c>
      <c r="B100" s="3" t="s">
        <v>15</v>
      </c>
      <c r="C100" s="4" t="s">
        <v>16</v>
      </c>
      <c r="D100" t="s">
        <v>67</v>
      </c>
      <c r="E100" s="4" t="s">
        <v>18</v>
      </c>
      <c r="F100" s="4" t="s">
        <v>17</v>
      </c>
      <c r="G100" s="4" t="s">
        <v>197</v>
      </c>
      <c r="H100" s="4" t="s">
        <v>40</v>
      </c>
      <c r="I100" s="4" t="s">
        <v>306</v>
      </c>
      <c r="J100" s="5">
        <v>40</v>
      </c>
      <c r="K100" s="5">
        <v>2512099</v>
      </c>
      <c r="L100" s="7">
        <v>12500</v>
      </c>
      <c r="N100" s="7">
        <v>6500</v>
      </c>
      <c r="O100" s="5">
        <f t="shared" si="3"/>
        <v>6000</v>
      </c>
      <c r="T100">
        <f t="shared" si="4"/>
        <v>2500</v>
      </c>
      <c r="U100" t="s">
        <v>58</v>
      </c>
      <c r="V100" s="11">
        <v>10000</v>
      </c>
      <c r="W100" s="5">
        <v>10000</v>
      </c>
      <c r="X100" s="5">
        <f t="shared" si="5"/>
        <v>0</v>
      </c>
    </row>
    <row r="101" spans="1:24" x14ac:dyDescent="0.25">
      <c r="A101" s="2" t="s">
        <v>304</v>
      </c>
      <c r="B101" s="3" t="s">
        <v>15</v>
      </c>
      <c r="C101" s="4" t="s">
        <v>16</v>
      </c>
      <c r="D101" t="s">
        <v>67</v>
      </c>
      <c r="E101" s="4" t="s">
        <v>18</v>
      </c>
      <c r="F101" s="4" t="s">
        <v>17</v>
      </c>
      <c r="G101" s="4" t="s">
        <v>197</v>
      </c>
      <c r="H101" s="4" t="s">
        <v>24</v>
      </c>
      <c r="I101" s="4" t="s">
        <v>307</v>
      </c>
      <c r="J101" s="5">
        <v>40</v>
      </c>
      <c r="K101" s="5">
        <v>2512100</v>
      </c>
      <c r="L101" s="7">
        <v>12500</v>
      </c>
      <c r="N101" s="7">
        <v>6500</v>
      </c>
      <c r="O101" s="5">
        <f t="shared" si="3"/>
        <v>6000</v>
      </c>
      <c r="T101">
        <f t="shared" si="4"/>
        <v>2500</v>
      </c>
      <c r="U101" t="s">
        <v>59</v>
      </c>
      <c r="V101" s="11">
        <v>10000</v>
      </c>
      <c r="W101" s="5">
        <v>10000</v>
      </c>
      <c r="X101" s="5">
        <f t="shared" si="5"/>
        <v>0</v>
      </c>
    </row>
    <row r="102" spans="1:24" x14ac:dyDescent="0.25">
      <c r="A102" s="2" t="s">
        <v>304</v>
      </c>
      <c r="B102" s="4" t="s">
        <v>15</v>
      </c>
      <c r="C102" s="4" t="s">
        <v>21</v>
      </c>
      <c r="D102" s="4" t="s">
        <v>57</v>
      </c>
      <c r="E102" s="4" t="s">
        <v>18</v>
      </c>
      <c r="F102" s="4" t="s">
        <v>17</v>
      </c>
      <c r="G102" s="4" t="s">
        <v>23</v>
      </c>
      <c r="H102" s="4" t="s">
        <v>131</v>
      </c>
      <c r="I102" s="4" t="s">
        <v>308</v>
      </c>
      <c r="J102" s="5">
        <v>20</v>
      </c>
      <c r="K102" s="5">
        <v>2512101</v>
      </c>
      <c r="L102" s="7">
        <v>10000</v>
      </c>
      <c r="N102" s="7">
        <v>5000</v>
      </c>
      <c r="O102" s="5">
        <f t="shared" si="3"/>
        <v>5000</v>
      </c>
      <c r="T102">
        <f t="shared" si="4"/>
        <v>2000</v>
      </c>
      <c r="U102" t="s">
        <v>141</v>
      </c>
      <c r="V102" s="11">
        <v>8000</v>
      </c>
      <c r="W102" s="5">
        <v>8000</v>
      </c>
      <c r="X102" s="5">
        <f t="shared" si="5"/>
        <v>0</v>
      </c>
    </row>
    <row r="103" spans="1:24" x14ac:dyDescent="0.25">
      <c r="A103" s="2" t="s">
        <v>304</v>
      </c>
      <c r="B103" s="4" t="s">
        <v>15</v>
      </c>
      <c r="C103" s="4" t="s">
        <v>25</v>
      </c>
      <c r="D103" t="s">
        <v>92</v>
      </c>
      <c r="E103" s="4" t="s">
        <v>18</v>
      </c>
      <c r="F103" s="4" t="s">
        <v>17</v>
      </c>
      <c r="G103" s="4" t="s">
        <v>23</v>
      </c>
      <c r="H103" s="4" t="s">
        <v>52</v>
      </c>
      <c r="I103" s="4" t="s">
        <v>309</v>
      </c>
      <c r="J103" s="5">
        <v>20</v>
      </c>
      <c r="K103" s="5">
        <v>2512102</v>
      </c>
      <c r="L103" s="7">
        <v>10000</v>
      </c>
      <c r="N103" s="7">
        <v>5000</v>
      </c>
      <c r="O103" s="5">
        <f t="shared" si="3"/>
        <v>5000</v>
      </c>
      <c r="T103">
        <f t="shared" si="4"/>
        <v>0</v>
      </c>
      <c r="U103" t="s">
        <v>134</v>
      </c>
      <c r="V103" s="11">
        <v>10000</v>
      </c>
      <c r="W103" s="5">
        <v>10000</v>
      </c>
      <c r="X103" s="5">
        <f t="shared" si="5"/>
        <v>0</v>
      </c>
    </row>
    <row r="104" spans="1:24" x14ac:dyDescent="0.25">
      <c r="A104" s="2" t="s">
        <v>194</v>
      </c>
      <c r="B104" s="3" t="s">
        <v>15</v>
      </c>
      <c r="C104" s="4" t="s">
        <v>16</v>
      </c>
      <c r="D104" t="s">
        <v>67</v>
      </c>
      <c r="E104" s="4" t="s">
        <v>18</v>
      </c>
      <c r="F104" s="4" t="s">
        <v>17</v>
      </c>
      <c r="G104" s="4" t="s">
        <v>197</v>
      </c>
      <c r="H104" s="4" t="s">
        <v>20</v>
      </c>
      <c r="I104" s="4" t="s">
        <v>312</v>
      </c>
      <c r="J104" s="5">
        <v>40</v>
      </c>
      <c r="K104" s="5">
        <v>2512103</v>
      </c>
      <c r="L104" s="7">
        <v>12500</v>
      </c>
      <c r="N104" s="7">
        <v>6500</v>
      </c>
      <c r="O104" s="5">
        <f t="shared" si="3"/>
        <v>6000</v>
      </c>
      <c r="T104">
        <f t="shared" si="4"/>
        <v>2500</v>
      </c>
      <c r="U104" t="s">
        <v>54</v>
      </c>
      <c r="V104" s="11">
        <v>10000</v>
      </c>
      <c r="W104" s="5">
        <v>10000</v>
      </c>
      <c r="X104" s="5">
        <f t="shared" si="5"/>
        <v>0</v>
      </c>
    </row>
    <row r="105" spans="1:24" x14ac:dyDescent="0.25">
      <c r="A105" s="2" t="s">
        <v>194</v>
      </c>
      <c r="B105" s="3" t="s">
        <v>15</v>
      </c>
      <c r="C105" s="4" t="s">
        <v>16</v>
      </c>
      <c r="D105" t="s">
        <v>67</v>
      </c>
      <c r="E105" s="4" t="s">
        <v>18</v>
      </c>
      <c r="F105" s="4" t="s">
        <v>17</v>
      </c>
      <c r="G105" s="4" t="s">
        <v>197</v>
      </c>
      <c r="H105" s="4" t="s">
        <v>40</v>
      </c>
      <c r="I105" s="4" t="s">
        <v>313</v>
      </c>
      <c r="J105" s="5">
        <v>40</v>
      </c>
      <c r="K105" s="5">
        <v>2512104</v>
      </c>
      <c r="L105" s="7">
        <v>12500</v>
      </c>
      <c r="N105" s="7">
        <v>6500</v>
      </c>
      <c r="O105" s="5">
        <f t="shared" si="3"/>
        <v>6000</v>
      </c>
      <c r="T105">
        <f t="shared" si="4"/>
        <v>2500</v>
      </c>
      <c r="U105" t="s">
        <v>58</v>
      </c>
      <c r="V105" s="11">
        <v>10000</v>
      </c>
      <c r="W105" s="5">
        <v>10000</v>
      </c>
      <c r="X105" s="5">
        <f t="shared" si="5"/>
        <v>0</v>
      </c>
    </row>
    <row r="106" spans="1:24" x14ac:dyDescent="0.25">
      <c r="A106" s="2" t="s">
        <v>194</v>
      </c>
      <c r="B106" s="3" t="s">
        <v>15</v>
      </c>
      <c r="C106" s="4" t="s">
        <v>16</v>
      </c>
      <c r="D106" t="s">
        <v>67</v>
      </c>
      <c r="E106" s="4" t="s">
        <v>18</v>
      </c>
      <c r="F106" s="4" t="s">
        <v>17</v>
      </c>
      <c r="G106" s="4" t="s">
        <v>197</v>
      </c>
      <c r="H106" s="4" t="s">
        <v>24</v>
      </c>
      <c r="I106" s="4" t="s">
        <v>314</v>
      </c>
      <c r="J106" s="5">
        <v>40</v>
      </c>
      <c r="K106" s="5">
        <v>2512105</v>
      </c>
      <c r="L106" s="7">
        <v>12500</v>
      </c>
      <c r="N106" s="7">
        <v>6500</v>
      </c>
      <c r="O106" s="5">
        <f t="shared" si="3"/>
        <v>6000</v>
      </c>
      <c r="T106">
        <f t="shared" si="4"/>
        <v>2500</v>
      </c>
      <c r="U106" t="s">
        <v>59</v>
      </c>
      <c r="V106" s="11">
        <v>10000</v>
      </c>
      <c r="W106" s="5">
        <v>10000</v>
      </c>
      <c r="X106" s="5">
        <f t="shared" si="5"/>
        <v>0</v>
      </c>
    </row>
    <row r="107" spans="1:24" x14ac:dyDescent="0.25">
      <c r="A107" s="2" t="s">
        <v>194</v>
      </c>
      <c r="B107" s="4" t="s">
        <v>310</v>
      </c>
      <c r="C107" s="4" t="s">
        <v>74</v>
      </c>
      <c r="D107" s="4" t="s">
        <v>23</v>
      </c>
      <c r="E107" s="4" t="s">
        <v>311</v>
      </c>
      <c r="F107" s="4" t="s">
        <v>22</v>
      </c>
      <c r="G107" s="4" t="s">
        <v>114</v>
      </c>
      <c r="H107" s="4" t="s">
        <v>131</v>
      </c>
      <c r="I107" s="4" t="s">
        <v>315</v>
      </c>
      <c r="J107" s="5">
        <v>20</v>
      </c>
      <c r="K107" s="5">
        <v>2512106</v>
      </c>
      <c r="L107" s="7">
        <v>9000</v>
      </c>
      <c r="N107" s="7">
        <v>9000</v>
      </c>
      <c r="O107" s="5">
        <f t="shared" si="3"/>
        <v>0</v>
      </c>
      <c r="T107">
        <f t="shared" si="4"/>
        <v>3500</v>
      </c>
      <c r="U107" t="s">
        <v>141</v>
      </c>
      <c r="V107" s="11">
        <v>5500</v>
      </c>
      <c r="W107" s="5">
        <v>5500</v>
      </c>
      <c r="X107" s="5">
        <f t="shared" si="5"/>
        <v>0</v>
      </c>
    </row>
    <row r="108" spans="1:24" x14ac:dyDescent="0.25">
      <c r="A108" s="2" t="s">
        <v>304</v>
      </c>
      <c r="B108" s="4" t="s">
        <v>316</v>
      </c>
      <c r="C108" s="4" t="s">
        <v>317</v>
      </c>
      <c r="D108" s="4" t="s">
        <v>150</v>
      </c>
      <c r="E108" s="4" t="s">
        <v>318</v>
      </c>
      <c r="F108" s="4" t="s">
        <v>17</v>
      </c>
      <c r="G108" s="4" t="s">
        <v>23</v>
      </c>
      <c r="H108" s="4" t="s">
        <v>144</v>
      </c>
      <c r="I108" s="4" t="s">
        <v>319</v>
      </c>
      <c r="J108" s="5">
        <v>20</v>
      </c>
      <c r="K108" s="5">
        <v>2512107</v>
      </c>
      <c r="L108" s="7">
        <v>19000</v>
      </c>
      <c r="O108" s="5">
        <f t="shared" si="3"/>
        <v>19000</v>
      </c>
      <c r="T108">
        <f t="shared" si="4"/>
        <v>1500</v>
      </c>
      <c r="U108" t="s">
        <v>136</v>
      </c>
      <c r="V108" s="11">
        <v>17500</v>
      </c>
      <c r="W108" s="5">
        <v>17500</v>
      </c>
      <c r="X108" s="5">
        <f t="shared" si="5"/>
        <v>0</v>
      </c>
    </row>
    <row r="109" spans="1:24" x14ac:dyDescent="0.25">
      <c r="A109" s="2" t="s">
        <v>321</v>
      </c>
      <c r="B109" s="4" t="s">
        <v>15</v>
      </c>
      <c r="C109" s="4" t="s">
        <v>25</v>
      </c>
      <c r="D109" s="4" t="s">
        <v>138</v>
      </c>
      <c r="E109" s="4" t="s">
        <v>18</v>
      </c>
      <c r="F109" s="4" t="s">
        <v>17</v>
      </c>
      <c r="G109" s="4" t="s">
        <v>34</v>
      </c>
      <c r="H109" s="4" t="s">
        <v>40</v>
      </c>
      <c r="I109" s="4" t="s">
        <v>322</v>
      </c>
      <c r="J109" s="5">
        <v>40</v>
      </c>
      <c r="K109" s="5">
        <v>2512108</v>
      </c>
      <c r="L109" s="7">
        <v>16000</v>
      </c>
      <c r="M109">
        <v>2000</v>
      </c>
      <c r="N109" s="7">
        <v>8000</v>
      </c>
      <c r="O109" s="5">
        <f t="shared" si="3"/>
        <v>10000</v>
      </c>
      <c r="T109">
        <f t="shared" si="4"/>
        <v>7000</v>
      </c>
      <c r="U109" t="s">
        <v>58</v>
      </c>
      <c r="V109" s="11">
        <v>11000</v>
      </c>
      <c r="W109" s="5">
        <v>11000</v>
      </c>
      <c r="X109" s="5">
        <f t="shared" si="5"/>
        <v>0</v>
      </c>
    </row>
    <row r="110" spans="1:24" x14ac:dyDescent="0.25">
      <c r="A110" s="2" t="s">
        <v>321</v>
      </c>
      <c r="B110" s="4" t="s">
        <v>15</v>
      </c>
      <c r="C110" s="4" t="s">
        <v>207</v>
      </c>
      <c r="D110" s="4" t="s">
        <v>23</v>
      </c>
      <c r="E110" s="4" t="s">
        <v>18</v>
      </c>
      <c r="F110" s="4" t="s">
        <v>22</v>
      </c>
      <c r="G110" s="4" t="s">
        <v>323</v>
      </c>
      <c r="H110" s="4" t="s">
        <v>24</v>
      </c>
      <c r="I110" s="4" t="s">
        <v>324</v>
      </c>
      <c r="J110" s="5">
        <v>40</v>
      </c>
      <c r="K110" s="5">
        <v>2512109</v>
      </c>
      <c r="L110" s="7">
        <v>16000</v>
      </c>
      <c r="N110" s="7">
        <v>8000</v>
      </c>
      <c r="O110" s="5">
        <f t="shared" si="3"/>
        <v>8000</v>
      </c>
      <c r="T110">
        <f t="shared" si="4"/>
        <v>5000</v>
      </c>
      <c r="U110" t="s">
        <v>54</v>
      </c>
      <c r="V110" s="11">
        <v>11000</v>
      </c>
      <c r="W110" s="5">
        <v>11000</v>
      </c>
      <c r="X110" s="5">
        <f t="shared" si="5"/>
        <v>0</v>
      </c>
    </row>
    <row r="111" spans="1:24" x14ac:dyDescent="0.25">
      <c r="A111" s="2" t="s">
        <v>321</v>
      </c>
      <c r="B111" s="4" t="s">
        <v>15</v>
      </c>
      <c r="C111" s="4" t="s">
        <v>207</v>
      </c>
      <c r="D111" s="4" t="s">
        <v>23</v>
      </c>
      <c r="E111" s="4" t="s">
        <v>18</v>
      </c>
      <c r="F111" s="4" t="s">
        <v>22</v>
      </c>
      <c r="G111" s="4" t="s">
        <v>323</v>
      </c>
      <c r="H111" s="4" t="s">
        <v>131</v>
      </c>
      <c r="I111" s="4" t="s">
        <v>325</v>
      </c>
      <c r="J111" s="5">
        <v>40</v>
      </c>
      <c r="K111" s="5">
        <v>2512110</v>
      </c>
      <c r="L111" s="7">
        <v>10000</v>
      </c>
      <c r="N111" s="7">
        <v>5000</v>
      </c>
      <c r="O111" s="5">
        <f t="shared" si="3"/>
        <v>5000</v>
      </c>
      <c r="T111">
        <f t="shared" si="4"/>
        <v>2000</v>
      </c>
      <c r="U111" t="s">
        <v>141</v>
      </c>
      <c r="V111" s="11">
        <v>8000</v>
      </c>
      <c r="W111" s="5">
        <v>8000</v>
      </c>
      <c r="X111" s="5">
        <f t="shared" si="5"/>
        <v>0</v>
      </c>
    </row>
    <row r="112" spans="1:24" x14ac:dyDescent="0.25">
      <c r="A112" s="2" t="s">
        <v>326</v>
      </c>
      <c r="B112" s="4" t="s">
        <v>328</v>
      </c>
      <c r="C112" s="4" t="s">
        <v>329</v>
      </c>
      <c r="D112" s="4" t="s">
        <v>330</v>
      </c>
      <c r="E112" s="4" t="s">
        <v>329</v>
      </c>
      <c r="F112" s="4" t="s">
        <v>22</v>
      </c>
      <c r="G112" s="4" t="s">
        <v>95</v>
      </c>
      <c r="H112" s="4" t="s">
        <v>131</v>
      </c>
      <c r="I112" s="4" t="s">
        <v>331</v>
      </c>
      <c r="J112" s="5">
        <v>20</v>
      </c>
      <c r="K112" s="5">
        <v>2512111</v>
      </c>
      <c r="L112" s="7">
        <v>9000</v>
      </c>
      <c r="N112" s="7">
        <v>9000</v>
      </c>
      <c r="O112" s="5">
        <f t="shared" si="3"/>
        <v>0</v>
      </c>
      <c r="T112">
        <f t="shared" si="4"/>
        <v>2000</v>
      </c>
      <c r="U112" t="s">
        <v>141</v>
      </c>
      <c r="V112" s="11">
        <v>7000</v>
      </c>
      <c r="W112" s="5">
        <v>7000</v>
      </c>
      <c r="X112" s="5">
        <f t="shared" si="5"/>
        <v>0</v>
      </c>
    </row>
    <row r="113" spans="1:24" x14ac:dyDescent="0.25">
      <c r="A113" s="2" t="s">
        <v>327</v>
      </c>
      <c r="B113" s="4" t="s">
        <v>332</v>
      </c>
      <c r="C113" s="4" t="s">
        <v>333</v>
      </c>
      <c r="D113" s="4" t="s">
        <v>67</v>
      </c>
      <c r="E113" s="4" t="s">
        <v>18</v>
      </c>
      <c r="F113" s="4" t="s">
        <v>17</v>
      </c>
      <c r="G113" s="4" t="s">
        <v>23</v>
      </c>
      <c r="H113" s="4" t="s">
        <v>131</v>
      </c>
      <c r="I113" s="4" t="s">
        <v>334</v>
      </c>
      <c r="J113" s="5">
        <v>20</v>
      </c>
      <c r="K113" s="5">
        <v>2512112</v>
      </c>
      <c r="L113" s="7">
        <v>10000</v>
      </c>
      <c r="M113">
        <v>1500</v>
      </c>
      <c r="N113" s="7">
        <v>7000</v>
      </c>
      <c r="O113" s="5">
        <f t="shared" si="3"/>
        <v>4500</v>
      </c>
      <c r="T113">
        <f t="shared" si="4"/>
        <v>3000</v>
      </c>
      <c r="U113" t="s">
        <v>141</v>
      </c>
      <c r="V113" s="11">
        <v>8500</v>
      </c>
      <c r="W113" s="5">
        <v>8500</v>
      </c>
      <c r="X113" s="5">
        <f t="shared" si="5"/>
        <v>0</v>
      </c>
    </row>
    <row r="114" spans="1:24" x14ac:dyDescent="0.25">
      <c r="A114" s="2" t="s">
        <v>327</v>
      </c>
      <c r="B114" s="4" t="s">
        <v>15</v>
      </c>
      <c r="C114" s="4" t="s">
        <v>16</v>
      </c>
      <c r="D114" s="4" t="s">
        <v>335</v>
      </c>
      <c r="E114" s="4" t="s">
        <v>18</v>
      </c>
      <c r="F114" s="4" t="s">
        <v>17</v>
      </c>
      <c r="G114" s="4" t="s">
        <v>32</v>
      </c>
      <c r="H114" s="4" t="s">
        <v>336</v>
      </c>
      <c r="I114" s="4" t="s">
        <v>342</v>
      </c>
      <c r="J114" s="5">
        <v>40</v>
      </c>
      <c r="K114" s="5">
        <v>2512113</v>
      </c>
      <c r="L114" s="7">
        <v>13500</v>
      </c>
      <c r="N114" s="7">
        <v>6500</v>
      </c>
      <c r="O114" s="5">
        <f t="shared" si="3"/>
        <v>7000</v>
      </c>
      <c r="T114">
        <f t="shared" si="4"/>
        <v>500</v>
      </c>
      <c r="U114" t="s">
        <v>320</v>
      </c>
      <c r="V114" s="11">
        <v>13000</v>
      </c>
      <c r="W114" s="5">
        <v>13000</v>
      </c>
      <c r="X114" s="5">
        <f t="shared" si="5"/>
        <v>0</v>
      </c>
    </row>
    <row r="115" spans="1:24" x14ac:dyDescent="0.25">
      <c r="A115" s="2" t="s">
        <v>327</v>
      </c>
      <c r="B115" s="4" t="s">
        <v>15</v>
      </c>
      <c r="C115" s="4" t="s">
        <v>16</v>
      </c>
      <c r="D115" s="4" t="s">
        <v>276</v>
      </c>
      <c r="E115" s="4" t="s">
        <v>18</v>
      </c>
      <c r="F115" s="4" t="s">
        <v>17</v>
      </c>
      <c r="G115" s="4" t="s">
        <v>23</v>
      </c>
      <c r="H115" s="4" t="s">
        <v>133</v>
      </c>
      <c r="I115" s="4" t="s">
        <v>341</v>
      </c>
      <c r="J115" s="5">
        <v>40</v>
      </c>
      <c r="K115" s="5">
        <v>2512114</v>
      </c>
      <c r="L115" s="7">
        <v>13500</v>
      </c>
      <c r="N115" s="7">
        <v>6500</v>
      </c>
      <c r="O115" s="5">
        <f t="shared" si="3"/>
        <v>7000</v>
      </c>
      <c r="T115">
        <f t="shared" si="4"/>
        <v>500</v>
      </c>
      <c r="U115" t="s">
        <v>60</v>
      </c>
      <c r="V115" s="11">
        <v>13000</v>
      </c>
      <c r="W115" s="5"/>
      <c r="X115" s="5">
        <f t="shared" si="5"/>
        <v>13000</v>
      </c>
    </row>
    <row r="116" spans="1:24" x14ac:dyDescent="0.25">
      <c r="A116" s="2" t="s">
        <v>327</v>
      </c>
      <c r="B116" s="4" t="s">
        <v>15</v>
      </c>
      <c r="C116" s="4" t="s">
        <v>16</v>
      </c>
      <c r="D116" s="4" t="s">
        <v>276</v>
      </c>
      <c r="E116" s="4" t="s">
        <v>18</v>
      </c>
      <c r="F116" s="4" t="s">
        <v>17</v>
      </c>
      <c r="G116" s="4" t="s">
        <v>23</v>
      </c>
      <c r="H116" s="4" t="s">
        <v>118</v>
      </c>
      <c r="I116" s="4" t="s">
        <v>338</v>
      </c>
      <c r="J116" s="5">
        <v>40</v>
      </c>
      <c r="K116" s="5">
        <v>2512115</v>
      </c>
      <c r="L116" s="7">
        <v>13500</v>
      </c>
      <c r="N116" s="7">
        <v>6500</v>
      </c>
      <c r="O116" s="5">
        <f t="shared" si="3"/>
        <v>7000</v>
      </c>
      <c r="T116">
        <f t="shared" si="4"/>
        <v>500</v>
      </c>
      <c r="U116" t="s">
        <v>60</v>
      </c>
      <c r="V116" s="11">
        <v>13000</v>
      </c>
      <c r="W116" s="5"/>
      <c r="X116" s="5">
        <f t="shared" si="5"/>
        <v>13000</v>
      </c>
    </row>
    <row r="117" spans="1:24" x14ac:dyDescent="0.25">
      <c r="A117" s="2" t="s">
        <v>327</v>
      </c>
      <c r="B117" s="4" t="s">
        <v>15</v>
      </c>
      <c r="C117" s="4" t="s">
        <v>16</v>
      </c>
      <c r="D117" s="4" t="s">
        <v>276</v>
      </c>
      <c r="E117" s="4" t="s">
        <v>18</v>
      </c>
      <c r="F117" s="4" t="s">
        <v>17</v>
      </c>
      <c r="G117" s="4" t="s">
        <v>23</v>
      </c>
      <c r="H117" s="4" t="s">
        <v>31</v>
      </c>
      <c r="I117" s="4" t="s">
        <v>343</v>
      </c>
      <c r="J117" s="5">
        <v>40</v>
      </c>
      <c r="K117" s="5">
        <v>2512116</v>
      </c>
      <c r="L117" s="7">
        <v>13500</v>
      </c>
      <c r="N117" s="7">
        <v>6500</v>
      </c>
      <c r="O117" s="5">
        <f t="shared" si="3"/>
        <v>7000</v>
      </c>
      <c r="T117">
        <f t="shared" si="4"/>
        <v>500</v>
      </c>
      <c r="U117" t="s">
        <v>60</v>
      </c>
      <c r="V117" s="11">
        <v>13000</v>
      </c>
      <c r="W117" s="5"/>
      <c r="X117" s="5">
        <f t="shared" si="5"/>
        <v>13000</v>
      </c>
    </row>
    <row r="118" spans="1:24" x14ac:dyDescent="0.25">
      <c r="A118" s="2" t="s">
        <v>327</v>
      </c>
      <c r="B118" s="4" t="s">
        <v>15</v>
      </c>
      <c r="C118" s="4" t="s">
        <v>16</v>
      </c>
      <c r="D118" s="4" t="s">
        <v>276</v>
      </c>
      <c r="E118" s="4" t="s">
        <v>18</v>
      </c>
      <c r="F118" s="4" t="s">
        <v>17</v>
      </c>
      <c r="G118" s="4" t="s">
        <v>23</v>
      </c>
      <c r="H118" s="4" t="s">
        <v>337</v>
      </c>
      <c r="I118" s="4" t="s">
        <v>340</v>
      </c>
      <c r="J118" s="5">
        <v>40</v>
      </c>
      <c r="K118" s="5">
        <v>2512117</v>
      </c>
      <c r="L118" s="7">
        <v>13500</v>
      </c>
      <c r="N118" s="7">
        <v>6500</v>
      </c>
      <c r="O118" s="5">
        <f t="shared" si="3"/>
        <v>7000</v>
      </c>
      <c r="T118">
        <f t="shared" si="4"/>
        <v>500</v>
      </c>
      <c r="U118" t="s">
        <v>60</v>
      </c>
      <c r="V118" s="11">
        <v>13000</v>
      </c>
      <c r="W118" s="5"/>
      <c r="X118" s="5">
        <f t="shared" si="5"/>
        <v>13000</v>
      </c>
    </row>
    <row r="119" spans="1:24" x14ac:dyDescent="0.25">
      <c r="A119" s="2" t="s">
        <v>327</v>
      </c>
      <c r="B119" s="4" t="s">
        <v>15</v>
      </c>
      <c r="C119" s="4" t="s">
        <v>16</v>
      </c>
      <c r="D119" s="4" t="s">
        <v>276</v>
      </c>
      <c r="E119" s="4" t="s">
        <v>18</v>
      </c>
      <c r="F119" s="4" t="s">
        <v>17</v>
      </c>
      <c r="G119" s="4" t="s">
        <v>23</v>
      </c>
      <c r="H119" s="4" t="s">
        <v>40</v>
      </c>
      <c r="I119" s="4" t="s">
        <v>339</v>
      </c>
      <c r="J119" s="5">
        <v>40</v>
      </c>
      <c r="K119" s="5">
        <v>2512118</v>
      </c>
      <c r="L119" s="7">
        <v>12500</v>
      </c>
      <c r="N119" s="7">
        <v>6500</v>
      </c>
      <c r="O119" s="5">
        <f t="shared" si="3"/>
        <v>6000</v>
      </c>
      <c r="T119">
        <f t="shared" si="4"/>
        <v>2500</v>
      </c>
      <c r="U119" t="s">
        <v>58</v>
      </c>
      <c r="V119" s="11">
        <v>10000</v>
      </c>
      <c r="W119" s="5">
        <v>10000</v>
      </c>
      <c r="X119" s="5">
        <f t="shared" si="5"/>
        <v>0</v>
      </c>
    </row>
    <row r="120" spans="1:24" x14ac:dyDescent="0.25">
      <c r="A120" s="2" t="s">
        <v>327</v>
      </c>
      <c r="B120" s="4" t="s">
        <v>15</v>
      </c>
      <c r="C120" s="4" t="s">
        <v>122</v>
      </c>
      <c r="D120" s="4" t="s">
        <v>162</v>
      </c>
      <c r="E120" s="4" t="s">
        <v>18</v>
      </c>
      <c r="F120" s="4" t="s">
        <v>22</v>
      </c>
      <c r="G120" s="4" t="s">
        <v>95</v>
      </c>
      <c r="H120" s="4" t="s">
        <v>24</v>
      </c>
      <c r="I120" s="4" t="s">
        <v>344</v>
      </c>
      <c r="J120" s="5">
        <v>40</v>
      </c>
      <c r="K120" s="5">
        <v>2512119</v>
      </c>
      <c r="L120" s="7">
        <v>16000</v>
      </c>
      <c r="N120" s="7">
        <v>8000</v>
      </c>
      <c r="O120" s="5">
        <f t="shared" si="3"/>
        <v>8000</v>
      </c>
      <c r="T120">
        <f t="shared" si="4"/>
        <v>5000</v>
      </c>
      <c r="U120" t="s">
        <v>54</v>
      </c>
      <c r="V120" s="11">
        <v>11000</v>
      </c>
      <c r="W120" s="5">
        <v>11000</v>
      </c>
      <c r="X120" s="5">
        <f t="shared" si="5"/>
        <v>0</v>
      </c>
    </row>
    <row r="121" spans="1:24" x14ac:dyDescent="0.25">
      <c r="A121" s="2"/>
      <c r="K121" s="5"/>
      <c r="O121" s="5"/>
    </row>
    <row r="122" spans="1:24" x14ac:dyDescent="0.25">
      <c r="G122" s="15"/>
      <c r="L122">
        <f>SUM(L2:L121)</f>
        <v>1437500</v>
      </c>
      <c r="M122">
        <f>SUM(M2:M121)</f>
        <v>80600</v>
      </c>
      <c r="N122">
        <f>SUM(N2:N121)</f>
        <v>705000</v>
      </c>
      <c r="O122" s="5">
        <f>SUM(O2:O121)</f>
        <v>813100</v>
      </c>
    </row>
    <row r="123" spans="1:24" x14ac:dyDescent="0.25">
      <c r="G123" s="15"/>
    </row>
    <row r="124" spans="1:24" x14ac:dyDescent="0.25">
      <c r="G124" s="15"/>
      <c r="I124" s="6"/>
    </row>
    <row r="125" spans="1:24" x14ac:dyDescent="0.25">
      <c r="B125" t="s">
        <v>48</v>
      </c>
      <c r="C125" t="s">
        <v>68</v>
      </c>
      <c r="D125" t="s">
        <v>38</v>
      </c>
      <c r="E125" t="s">
        <v>49</v>
      </c>
      <c r="F125" t="s">
        <v>0</v>
      </c>
      <c r="G125" t="s">
        <v>10</v>
      </c>
      <c r="V125">
        <f>SUM(V2:V124)</f>
        <v>1238100</v>
      </c>
      <c r="W125">
        <f>SUM(W2:W124)</f>
        <v>1101600</v>
      </c>
      <c r="X125">
        <f>SUM(X2:X124)</f>
        <v>136500</v>
      </c>
    </row>
    <row r="126" spans="1:24" ht="23.25" x14ac:dyDescent="0.35">
      <c r="B126" t="s">
        <v>47</v>
      </c>
      <c r="C126">
        <v>11000</v>
      </c>
      <c r="D126">
        <v>22000</v>
      </c>
      <c r="E126">
        <v>33000</v>
      </c>
      <c r="G126">
        <f>(C126+D126)-E126</f>
        <v>0</v>
      </c>
      <c r="T126" s="16">
        <f>SUM(T2:T125)</f>
        <v>280000</v>
      </c>
      <c r="U126" s="20">
        <f>O122-X125</f>
        <v>676600</v>
      </c>
    </row>
    <row r="127" spans="1:24" x14ac:dyDescent="0.25">
      <c r="B127" t="s">
        <v>42</v>
      </c>
      <c r="C127">
        <v>1488000</v>
      </c>
      <c r="D127">
        <v>498000</v>
      </c>
      <c r="E127">
        <v>344000</v>
      </c>
      <c r="F127" t="s">
        <v>194</v>
      </c>
      <c r="G127">
        <f>(C127+D127)-E127</f>
        <v>1642000</v>
      </c>
    </row>
    <row r="128" spans="1:24" x14ac:dyDescent="0.25">
      <c r="B128" t="s">
        <v>43</v>
      </c>
      <c r="C128">
        <v>1102000</v>
      </c>
      <c r="D128">
        <v>179500</v>
      </c>
      <c r="E128">
        <v>246000</v>
      </c>
      <c r="F128" t="s">
        <v>194</v>
      </c>
      <c r="G128">
        <f t="shared" ref="G128:G139" si="6">(C128+D128)-E128</f>
        <v>1035500</v>
      </c>
    </row>
    <row r="129" spans="2:20" x14ac:dyDescent="0.25">
      <c r="B129" t="s">
        <v>44</v>
      </c>
      <c r="C129">
        <v>698600</v>
      </c>
      <c r="D129">
        <v>50600</v>
      </c>
      <c r="E129">
        <f>152000+97500</f>
        <v>249500</v>
      </c>
      <c r="F129" t="s">
        <v>273</v>
      </c>
      <c r="G129">
        <f t="shared" si="6"/>
        <v>499700</v>
      </c>
    </row>
    <row r="130" spans="2:20" x14ac:dyDescent="0.25">
      <c r="B130" t="s">
        <v>37</v>
      </c>
      <c r="C130">
        <v>4000</v>
      </c>
      <c r="G130">
        <f t="shared" si="6"/>
        <v>4000</v>
      </c>
    </row>
    <row r="131" spans="2:20" x14ac:dyDescent="0.25">
      <c r="B131" t="s">
        <v>45</v>
      </c>
      <c r="C131">
        <v>17000</v>
      </c>
      <c r="D131">
        <v>15000</v>
      </c>
      <c r="E131">
        <v>0</v>
      </c>
      <c r="G131">
        <f t="shared" si="6"/>
        <v>32000</v>
      </c>
      <c r="T131" s="10"/>
    </row>
    <row r="132" spans="2:20" x14ac:dyDescent="0.25">
      <c r="B132" t="s">
        <v>119</v>
      </c>
      <c r="G132">
        <f t="shared" si="6"/>
        <v>0</v>
      </c>
      <c r="T132" s="10"/>
    </row>
    <row r="133" spans="2:20" x14ac:dyDescent="0.25">
      <c r="B133" t="s">
        <v>345</v>
      </c>
      <c r="C133">
        <v>0</v>
      </c>
      <c r="D133">
        <v>19000</v>
      </c>
      <c r="G133">
        <f t="shared" si="6"/>
        <v>19000</v>
      </c>
      <c r="T133" s="10"/>
    </row>
    <row r="134" spans="2:20" x14ac:dyDescent="0.25">
      <c r="B134" t="s">
        <v>129</v>
      </c>
      <c r="C134">
        <v>13000</v>
      </c>
      <c r="G134">
        <f t="shared" si="6"/>
        <v>13000</v>
      </c>
      <c r="T134" s="10"/>
    </row>
    <row r="135" spans="2:20" x14ac:dyDescent="0.25">
      <c r="B135" s="4" t="s">
        <v>63</v>
      </c>
      <c r="C135">
        <v>0</v>
      </c>
      <c r="E135">
        <v>0</v>
      </c>
      <c r="G135">
        <f t="shared" si="6"/>
        <v>0</v>
      </c>
    </row>
    <row r="136" spans="2:20" x14ac:dyDescent="0.25">
      <c r="B136" s="4" t="s">
        <v>62</v>
      </c>
      <c r="C136">
        <v>0</v>
      </c>
      <c r="G136">
        <f t="shared" si="6"/>
        <v>0</v>
      </c>
    </row>
    <row r="137" spans="2:20" x14ac:dyDescent="0.25">
      <c r="B137" t="s">
        <v>69</v>
      </c>
      <c r="C137">
        <v>15000</v>
      </c>
      <c r="G137">
        <f t="shared" si="6"/>
        <v>15000</v>
      </c>
    </row>
    <row r="138" spans="2:20" x14ac:dyDescent="0.25">
      <c r="B138" t="s">
        <v>120</v>
      </c>
      <c r="C138">
        <v>22000</v>
      </c>
      <c r="D138">
        <v>11000</v>
      </c>
      <c r="E138">
        <v>33000</v>
      </c>
      <c r="G138">
        <f t="shared" si="6"/>
        <v>0</v>
      </c>
    </row>
    <row r="139" spans="2:20" x14ac:dyDescent="0.25">
      <c r="B139" t="s">
        <v>46</v>
      </c>
      <c r="D139">
        <v>22000</v>
      </c>
      <c r="G139">
        <f t="shared" si="6"/>
        <v>22000</v>
      </c>
    </row>
    <row r="140" spans="2:20" x14ac:dyDescent="0.25">
      <c r="C140">
        <f>SUBTOTAL(9,C126:C139)</f>
        <v>3370600</v>
      </c>
      <c r="D140">
        <f>SUBTOTAL(9,D126:D139)</f>
        <v>817100</v>
      </c>
      <c r="E140">
        <f t="shared" ref="E140" si="7">SUBTOTAL(9,D140)</f>
        <v>0</v>
      </c>
      <c r="G140">
        <f>SUBTOTAL(9,G126:G139)</f>
        <v>3282200</v>
      </c>
    </row>
    <row r="141" spans="2:20" x14ac:dyDescent="0.25">
      <c r="C141" t="s">
        <v>50</v>
      </c>
      <c r="E141">
        <f>F136-U137</f>
        <v>0</v>
      </c>
    </row>
    <row r="149" spans="3:9" x14ac:dyDescent="0.25">
      <c r="C149" s="5"/>
      <c r="D149" s="2"/>
      <c r="E149" s="5"/>
      <c r="F149" s="5"/>
    </row>
    <row r="150" spans="3:9" x14ac:dyDescent="0.25">
      <c r="C150" s="5"/>
      <c r="D150" s="2"/>
      <c r="E150" s="5"/>
      <c r="H150" s="2"/>
      <c r="I150" s="4"/>
    </row>
    <row r="151" spans="3:9" x14ac:dyDescent="0.25">
      <c r="C151" s="5"/>
      <c r="D151" s="2"/>
      <c r="E151" s="5"/>
      <c r="H151" s="2"/>
      <c r="I151" s="4"/>
    </row>
    <row r="152" spans="3:9" x14ac:dyDescent="0.25">
      <c r="C152" s="5"/>
      <c r="D152" s="2"/>
      <c r="E152" s="5"/>
      <c r="I152" s="6"/>
    </row>
    <row r="153" spans="3:9" x14ac:dyDescent="0.25">
      <c r="C153" s="5"/>
      <c r="D153" s="2"/>
      <c r="E153" s="5"/>
      <c r="H153" s="2"/>
      <c r="I153" s="6"/>
    </row>
    <row r="154" spans="3:9" x14ac:dyDescent="0.25">
      <c r="C154" s="5"/>
      <c r="D154" s="2"/>
      <c r="E154" s="5"/>
      <c r="H154" s="2"/>
      <c r="I154" s="6"/>
    </row>
    <row r="155" spans="3:9" x14ac:dyDescent="0.25">
      <c r="C155" s="5"/>
      <c r="D155" s="2"/>
      <c r="E155" s="5"/>
      <c r="I155" s="6"/>
    </row>
    <row r="156" spans="3:9" x14ac:dyDescent="0.25">
      <c r="C156" s="5"/>
      <c r="D156" s="2"/>
      <c r="E156" s="5"/>
      <c r="H156" s="2"/>
    </row>
    <row r="157" spans="3:9" x14ac:dyDescent="0.25">
      <c r="C157" s="5"/>
      <c r="D157" s="2"/>
      <c r="E157" s="5"/>
      <c r="I157" s="6"/>
    </row>
    <row r="158" spans="3:9" x14ac:dyDescent="0.25">
      <c r="C158" s="5"/>
      <c r="D158" s="2"/>
      <c r="E158" s="5"/>
      <c r="I158" s="6"/>
    </row>
    <row r="159" spans="3:9" x14ac:dyDescent="0.25">
      <c r="C159" s="5"/>
      <c r="D159" s="2"/>
      <c r="E159" s="5"/>
    </row>
    <row r="160" spans="3:9" x14ac:dyDescent="0.25">
      <c r="C160" s="5"/>
      <c r="D160" s="2"/>
      <c r="E160" s="5"/>
    </row>
    <row r="161" spans="3:14" x14ac:dyDescent="0.25">
      <c r="C161" s="5"/>
      <c r="D161" s="2"/>
      <c r="E161" s="5"/>
    </row>
    <row r="162" spans="3:14" x14ac:dyDescent="0.25">
      <c r="C162" s="5"/>
      <c r="D162" s="2"/>
      <c r="E162" s="5"/>
    </row>
    <row r="163" spans="3:14" x14ac:dyDescent="0.25">
      <c r="C163" s="5"/>
      <c r="D163" s="2"/>
      <c r="E163" s="5"/>
    </row>
    <row r="164" spans="3:14" x14ac:dyDescent="0.25">
      <c r="C164" s="5"/>
      <c r="D164" s="2"/>
      <c r="E164" s="5"/>
      <c r="H164" s="17"/>
      <c r="M164" s="18"/>
    </row>
    <row r="165" spans="3:14" x14ac:dyDescent="0.25">
      <c r="C165" s="5"/>
      <c r="D165" s="2"/>
      <c r="E165" s="5"/>
      <c r="H165" s="17"/>
      <c r="M165" s="18"/>
    </row>
    <row r="166" spans="3:14" x14ac:dyDescent="0.25">
      <c r="C166" s="5"/>
      <c r="D166" s="2"/>
      <c r="E166" s="5"/>
      <c r="H166" s="17"/>
      <c r="M166" s="18"/>
    </row>
    <row r="167" spans="3:14" x14ac:dyDescent="0.25">
      <c r="C167" s="5"/>
      <c r="D167" s="2"/>
      <c r="E167" s="5"/>
      <c r="H167" s="17"/>
      <c r="M167" s="18"/>
    </row>
    <row r="168" spans="3:14" x14ac:dyDescent="0.25">
      <c r="C168" s="5"/>
      <c r="D168" s="2"/>
      <c r="E168" s="5"/>
      <c r="H168" s="17"/>
      <c r="M168" s="18"/>
    </row>
    <row r="169" spans="3:14" x14ac:dyDescent="0.25">
      <c r="C169" s="5"/>
      <c r="D169" s="2"/>
      <c r="E169" s="5"/>
      <c r="H169" s="17"/>
      <c r="M169" s="18"/>
    </row>
    <row r="170" spans="3:14" x14ac:dyDescent="0.25">
      <c r="C170" s="5"/>
      <c r="D170" s="2"/>
      <c r="E170" s="5"/>
      <c r="H170" t="s">
        <v>70</v>
      </c>
      <c r="I170">
        <v>2560000</v>
      </c>
      <c r="K170" t="s">
        <v>71</v>
      </c>
      <c r="L170">
        <v>85000</v>
      </c>
      <c r="M170" t="s">
        <v>72</v>
      </c>
      <c r="N170">
        <v>400000</v>
      </c>
    </row>
    <row r="171" spans="3:14" x14ac:dyDescent="0.25">
      <c r="C171" s="5"/>
      <c r="D171" s="2"/>
      <c r="E171" s="5"/>
      <c r="H171" t="s">
        <v>73</v>
      </c>
      <c r="I171">
        <v>0</v>
      </c>
      <c r="K171" t="s">
        <v>74</v>
      </c>
      <c r="L171">
        <v>0</v>
      </c>
      <c r="M171" t="s">
        <v>75</v>
      </c>
      <c r="N171">
        <v>100000</v>
      </c>
    </row>
    <row r="172" spans="3:14" x14ac:dyDescent="0.25">
      <c r="C172" s="5"/>
      <c r="D172" s="2"/>
      <c r="E172" s="5"/>
      <c r="H172" t="s">
        <v>76</v>
      </c>
      <c r="I172">
        <v>125000</v>
      </c>
      <c r="K172" t="s">
        <v>77</v>
      </c>
      <c r="L172">
        <v>0</v>
      </c>
      <c r="M172">
        <v>6129</v>
      </c>
      <c r="N172">
        <v>1200000</v>
      </c>
    </row>
    <row r="173" spans="3:14" x14ac:dyDescent="0.25">
      <c r="C173" s="5"/>
      <c r="D173" s="2"/>
      <c r="E173" s="5"/>
      <c r="H173" t="s">
        <v>78</v>
      </c>
      <c r="I173">
        <v>70000</v>
      </c>
      <c r="K173" t="s">
        <v>79</v>
      </c>
      <c r="L173">
        <v>600000</v>
      </c>
      <c r="M173">
        <v>6999</v>
      </c>
      <c r="N173">
        <v>500000</v>
      </c>
    </row>
    <row r="174" spans="3:14" x14ac:dyDescent="0.25">
      <c r="C174" s="5"/>
      <c r="D174" s="2"/>
      <c r="E174" s="9"/>
      <c r="H174" t="s">
        <v>80</v>
      </c>
      <c r="I174">
        <v>380000</v>
      </c>
      <c r="K174" t="s">
        <v>81</v>
      </c>
      <c r="L174">
        <v>750000</v>
      </c>
      <c r="M174">
        <v>6368</v>
      </c>
      <c r="N174">
        <v>1000000</v>
      </c>
    </row>
    <row r="175" spans="3:14" x14ac:dyDescent="0.25">
      <c r="C175" s="5"/>
      <c r="D175" s="2"/>
      <c r="E175" s="5"/>
      <c r="H175" t="s">
        <v>82</v>
      </c>
      <c r="I175">
        <v>120000</v>
      </c>
      <c r="K175" t="s">
        <v>83</v>
      </c>
      <c r="L175">
        <v>5450000</v>
      </c>
      <c r="M175">
        <v>9580</v>
      </c>
      <c r="N175">
        <v>1000000</v>
      </c>
    </row>
    <row r="176" spans="3:14" x14ac:dyDescent="0.25">
      <c r="C176" s="5"/>
      <c r="D176" s="2"/>
      <c r="E176" s="5"/>
      <c r="H176" t="s">
        <v>84</v>
      </c>
      <c r="I176">
        <v>50000</v>
      </c>
      <c r="K176" t="s">
        <v>142</v>
      </c>
      <c r="L176">
        <v>450000</v>
      </c>
      <c r="M176" t="s">
        <v>79</v>
      </c>
    </row>
    <row r="177" spans="3:15" x14ac:dyDescent="0.25">
      <c r="C177" s="5"/>
      <c r="D177" s="2"/>
      <c r="E177" s="9"/>
      <c r="H177" s="21"/>
      <c r="I177">
        <f>SUM(I170:I176)</f>
        <v>3305000</v>
      </c>
      <c r="J177" s="22"/>
      <c r="L177">
        <f>SUM(L170:L176)</f>
        <v>7335000</v>
      </c>
      <c r="N177">
        <f>SUM(N170:N176)</f>
        <v>4200000</v>
      </c>
    </row>
    <row r="178" spans="3:15" x14ac:dyDescent="0.25">
      <c r="C178" s="5"/>
      <c r="D178" s="2"/>
      <c r="E178" s="5"/>
      <c r="H178" s="21"/>
      <c r="J178" s="22"/>
    </row>
    <row r="179" spans="3:15" x14ac:dyDescent="0.25">
      <c r="C179" s="5"/>
      <c r="D179" s="2"/>
      <c r="E179" s="5"/>
      <c r="H179" s="5"/>
      <c r="I179" s="2"/>
      <c r="J179" s="5"/>
    </row>
    <row r="180" spans="3:15" x14ac:dyDescent="0.25">
      <c r="C180" s="5"/>
      <c r="D180" s="2"/>
      <c r="E180" s="5"/>
      <c r="H180" s="5"/>
      <c r="I180" s="2"/>
      <c r="J180" s="5"/>
      <c r="L180" s="23">
        <f>I177-L177</f>
        <v>-4030000</v>
      </c>
      <c r="O180" s="24">
        <f>L180+N177</f>
        <v>170000</v>
      </c>
    </row>
    <row r="181" spans="3:15" x14ac:dyDescent="0.25">
      <c r="C181" s="5"/>
      <c r="D181" s="2"/>
      <c r="E181" s="5"/>
      <c r="H181" s="5"/>
      <c r="I181" s="2" t="s">
        <v>85</v>
      </c>
      <c r="J181" s="5"/>
      <c r="L181">
        <f>N179-L179</f>
        <v>0</v>
      </c>
    </row>
    <row r="182" spans="3:15" x14ac:dyDescent="0.25">
      <c r="C182" s="5"/>
      <c r="D182" s="2"/>
      <c r="E182" s="5"/>
      <c r="H182" s="5"/>
      <c r="I182" s="2"/>
      <c r="J182" s="5"/>
      <c r="K182" t="s">
        <v>86</v>
      </c>
      <c r="L182" s="25"/>
      <c r="N182" s="25"/>
    </row>
    <row r="183" spans="3:15" x14ac:dyDescent="0.25">
      <c r="C183" s="5"/>
      <c r="D183" s="2"/>
      <c r="E183" s="5"/>
      <c r="H183" s="5"/>
      <c r="I183" s="2" t="s">
        <v>85</v>
      </c>
      <c r="J183" s="5"/>
      <c r="L183" s="23">
        <f>L180+L182</f>
        <v>-4030000</v>
      </c>
      <c r="N183">
        <f>N180-N182</f>
        <v>0</v>
      </c>
      <c r="O183" s="24">
        <f>(L183+N183)+N177</f>
        <v>170000</v>
      </c>
    </row>
    <row r="184" spans="3:15" x14ac:dyDescent="0.25">
      <c r="C184" s="5"/>
      <c r="D184" s="2"/>
      <c r="E184" s="5"/>
    </row>
    <row r="185" spans="3:15" x14ac:dyDescent="0.25">
      <c r="C185" s="5"/>
      <c r="D185" s="2"/>
      <c r="E185" s="5"/>
    </row>
    <row r="186" spans="3:15" x14ac:dyDescent="0.25">
      <c r="C186" s="5"/>
      <c r="D186" s="2"/>
      <c r="E186" s="5"/>
    </row>
    <row r="187" spans="3:15" x14ac:dyDescent="0.25">
      <c r="C187" s="5"/>
      <c r="D187" s="2"/>
      <c r="E187" s="5"/>
    </row>
    <row r="188" spans="3:15" x14ac:dyDescent="0.25">
      <c r="C188" s="5"/>
      <c r="D188" s="2"/>
      <c r="E188" s="5"/>
    </row>
    <row r="189" spans="3:15" x14ac:dyDescent="0.25">
      <c r="C189" s="5"/>
      <c r="D189" s="2"/>
      <c r="E189" s="5"/>
    </row>
    <row r="190" spans="3:15" x14ac:dyDescent="0.25">
      <c r="C190" s="5"/>
      <c r="D190" s="2"/>
      <c r="E190" s="5"/>
    </row>
    <row r="198" spans="1:12" x14ac:dyDescent="0.25">
      <c r="B198" s="22"/>
    </row>
    <row r="204" spans="1:12" x14ac:dyDescent="0.25">
      <c r="A204" s="2"/>
      <c r="B204" s="5"/>
      <c r="C204" s="4"/>
      <c r="D204" s="4"/>
      <c r="E204" s="6"/>
      <c r="F204" s="5"/>
      <c r="G204" s="5"/>
    </row>
    <row r="205" spans="1:12" x14ac:dyDescent="0.25">
      <c r="A205" s="2"/>
      <c r="B205" s="5"/>
      <c r="C205" s="4"/>
      <c r="D205" s="4"/>
      <c r="E205" s="4"/>
      <c r="F205" s="5"/>
      <c r="G205" s="7"/>
    </row>
    <row r="206" spans="1:12" x14ac:dyDescent="0.25">
      <c r="A206" s="2"/>
      <c r="B206" s="5"/>
      <c r="C206" s="4"/>
      <c r="D206" s="4"/>
      <c r="E206" s="4"/>
      <c r="F206" s="5"/>
      <c r="G206" s="7"/>
      <c r="I206" s="26"/>
      <c r="L206" s="26"/>
    </row>
    <row r="207" spans="1:12" x14ac:dyDescent="0.25">
      <c r="A207" s="2"/>
      <c r="B207" s="5"/>
      <c r="C207" s="4"/>
      <c r="D207" s="4"/>
      <c r="E207" s="6"/>
      <c r="F207" s="5"/>
    </row>
    <row r="208" spans="1:12" x14ac:dyDescent="0.25">
      <c r="B208" s="5"/>
      <c r="C208" s="4"/>
      <c r="D208" s="4"/>
      <c r="E208" s="6"/>
      <c r="F208" s="5"/>
      <c r="I208" s="26"/>
      <c r="L208" s="26"/>
    </row>
    <row r="209" spans="2:12" x14ac:dyDescent="0.25">
      <c r="B209" s="5"/>
      <c r="C209" s="4"/>
      <c r="D209" s="4"/>
      <c r="E209" s="4"/>
      <c r="F209" s="5"/>
      <c r="I209" s="26"/>
      <c r="L209" s="26"/>
    </row>
    <row r="210" spans="2:12" x14ac:dyDescent="0.25">
      <c r="D210" s="4"/>
    </row>
    <row r="211" spans="2:12" x14ac:dyDescent="0.25">
      <c r="D211" s="4"/>
    </row>
    <row r="212" spans="2:12" x14ac:dyDescent="0.25">
      <c r="D212" s="4"/>
    </row>
    <row r="213" spans="2:12" x14ac:dyDescent="0.25">
      <c r="D213" s="4"/>
    </row>
    <row r="214" spans="2:12" x14ac:dyDescent="0.25">
      <c r="D214" s="4"/>
    </row>
    <row r="215" spans="2:12" x14ac:dyDescent="0.25">
      <c r="B215" s="22"/>
    </row>
    <row r="216" spans="2:12" x14ac:dyDescent="0.25">
      <c r="B216" s="22"/>
    </row>
    <row r="217" spans="2:12" x14ac:dyDescent="0.25">
      <c r="B217" s="22"/>
    </row>
    <row r="218" spans="2:12" x14ac:dyDescent="0.25">
      <c r="B218" s="22"/>
    </row>
    <row r="225" spans="2:9" x14ac:dyDescent="0.25">
      <c r="C225" t="s">
        <v>105</v>
      </c>
    </row>
    <row r="226" spans="2:9" x14ac:dyDescent="0.25">
      <c r="B226" t="s">
        <v>103</v>
      </c>
      <c r="C226" t="s">
        <v>106</v>
      </c>
      <c r="D226">
        <v>40</v>
      </c>
      <c r="E226">
        <v>2501034</v>
      </c>
      <c r="F226">
        <v>14000</v>
      </c>
      <c r="G226">
        <v>500</v>
      </c>
      <c r="H226">
        <v>14500</v>
      </c>
    </row>
    <row r="227" spans="2:9" x14ac:dyDescent="0.25">
      <c r="B227" t="s">
        <v>104</v>
      </c>
      <c r="C227" t="s">
        <v>107</v>
      </c>
      <c r="D227">
        <v>40</v>
      </c>
      <c r="E227">
        <v>2501086</v>
      </c>
      <c r="F227">
        <v>14000</v>
      </c>
      <c r="H227">
        <v>14000</v>
      </c>
    </row>
    <row r="228" spans="2:9" x14ac:dyDescent="0.25">
      <c r="B228" t="s">
        <v>108</v>
      </c>
      <c r="C228" t="s">
        <v>109</v>
      </c>
      <c r="D228">
        <v>40</v>
      </c>
      <c r="E228">
        <v>2503089</v>
      </c>
      <c r="F228">
        <v>14000</v>
      </c>
      <c r="H228">
        <v>14000</v>
      </c>
    </row>
    <row r="229" spans="2:9" x14ac:dyDescent="0.25">
      <c r="B229" s="2" t="s">
        <v>53</v>
      </c>
      <c r="C229" s="6" t="s">
        <v>55</v>
      </c>
      <c r="D229" s="5">
        <v>40</v>
      </c>
      <c r="E229" s="5">
        <v>2504006</v>
      </c>
      <c r="F229" s="5">
        <v>14000</v>
      </c>
      <c r="G229">
        <v>2500</v>
      </c>
      <c r="H229" s="5" t="e">
        <f>(F229+G229)-#REF!</f>
        <v>#REF!</v>
      </c>
    </row>
    <row r="230" spans="2:9" x14ac:dyDescent="0.25">
      <c r="B230" s="2" t="s">
        <v>87</v>
      </c>
      <c r="C230" s="4" t="s">
        <v>88</v>
      </c>
      <c r="D230" s="5">
        <v>20</v>
      </c>
      <c r="E230" s="5">
        <v>2505040</v>
      </c>
      <c r="F230" s="7">
        <v>11500</v>
      </c>
      <c r="G230" s="7">
        <v>1000</v>
      </c>
      <c r="H230" s="5">
        <v>12500</v>
      </c>
    </row>
    <row r="231" spans="2:9" x14ac:dyDescent="0.25">
      <c r="B231" s="2" t="s">
        <v>94</v>
      </c>
      <c r="C231" t="s">
        <v>96</v>
      </c>
      <c r="D231" s="5">
        <v>40</v>
      </c>
      <c r="E231" s="5">
        <v>2505105</v>
      </c>
      <c r="F231" s="7">
        <v>96000</v>
      </c>
      <c r="H231" s="5">
        <v>96000</v>
      </c>
    </row>
    <row r="232" spans="2:9" x14ac:dyDescent="0.25">
      <c r="B232" s="2" t="s">
        <v>100</v>
      </c>
      <c r="C232" s="4" t="s">
        <v>101</v>
      </c>
      <c r="D232" s="5">
        <v>40</v>
      </c>
      <c r="E232" s="5">
        <v>2506066</v>
      </c>
      <c r="F232" s="7">
        <v>14000</v>
      </c>
      <c r="G232">
        <v>2500</v>
      </c>
      <c r="H232" s="5" t="e">
        <f>(F232+G232)-#REF!</f>
        <v>#REF!</v>
      </c>
    </row>
    <row r="233" spans="2:9" x14ac:dyDescent="0.25">
      <c r="B233" s="2" t="s">
        <v>100</v>
      </c>
      <c r="C233" s="4" t="s">
        <v>102</v>
      </c>
      <c r="D233" s="5">
        <v>40</v>
      </c>
      <c r="E233" s="5">
        <v>2506067</v>
      </c>
      <c r="F233" s="7">
        <v>14000</v>
      </c>
      <c r="H233" s="5" t="e">
        <f>(F233+G233)-#REF!</f>
        <v>#REF!</v>
      </c>
    </row>
    <row r="234" spans="2:9" x14ac:dyDescent="0.25">
      <c r="H234" s="19" t="e">
        <f>SUBTOTAL(9,H226:H233)</f>
        <v>#REF!</v>
      </c>
    </row>
    <row r="235" spans="2:9" x14ac:dyDescent="0.25">
      <c r="C235" s="4" t="s">
        <v>97</v>
      </c>
      <c r="F235" t="s">
        <v>98</v>
      </c>
      <c r="H235">
        <v>100000</v>
      </c>
    </row>
    <row r="237" spans="2:9" x14ac:dyDescent="0.25">
      <c r="F237" t="s">
        <v>110</v>
      </c>
      <c r="H237" s="19">
        <v>98000</v>
      </c>
    </row>
    <row r="239" spans="2:9" x14ac:dyDescent="0.25">
      <c r="B239" s="2" t="s">
        <v>113</v>
      </c>
      <c r="C239" t="s">
        <v>115</v>
      </c>
      <c r="D239">
        <v>40</v>
      </c>
      <c r="E239">
        <v>2506097</v>
      </c>
      <c r="F239">
        <v>97000</v>
      </c>
      <c r="H239" t="e">
        <f>F239-#REF!</f>
        <v>#REF!</v>
      </c>
    </row>
    <row r="240" spans="2:9" x14ac:dyDescent="0.25">
      <c r="B240" s="2" t="s">
        <v>121</v>
      </c>
      <c r="C240" s="6" t="s">
        <v>123</v>
      </c>
      <c r="D240" s="5">
        <v>40</v>
      </c>
      <c r="E240" s="5">
        <v>2507026</v>
      </c>
      <c r="F240" s="5">
        <v>14000</v>
      </c>
      <c r="G240" s="4"/>
      <c r="H240" t="e">
        <f>F240-#REF!</f>
        <v>#REF!</v>
      </c>
      <c r="I240" s="4"/>
    </row>
    <row r="242" spans="5:8" x14ac:dyDescent="0.25">
      <c r="E242" t="s">
        <v>125</v>
      </c>
      <c r="H242">
        <v>79000</v>
      </c>
    </row>
  </sheetData>
  <autoFilter ref="A1:X122" xr:uid="{00000000-0001-0000-0000-000000000000}"/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 DEC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PALANI RAVI</cp:lastModifiedBy>
  <cp:lastPrinted>2025-09-21T08:30:05Z</cp:lastPrinted>
  <dcterms:created xsi:type="dcterms:W3CDTF">2024-05-06T11:32:30Z</dcterms:created>
  <dcterms:modified xsi:type="dcterms:W3CDTF">2026-01-30T12:37:48Z</dcterms:modified>
</cp:coreProperties>
</file>